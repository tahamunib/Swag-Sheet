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SHAD\Desktop\SwagsCurr\"/>
    </mc:Choice>
  </mc:AlternateContent>
  <bookViews>
    <workbookView xWindow="0" yWindow="0" windowWidth="19200" windowHeight="11745" activeTab="5"/>
  </bookViews>
  <sheets>
    <sheet name="Large" sheetId="3" r:id="rId1"/>
    <sheet name="Medium" sheetId="2" r:id="rId2"/>
    <sheet name="Small" sheetId="6" r:id="rId3"/>
    <sheet name="Form Resources" sheetId="4" r:id="rId4"/>
    <sheet name="Charts Over-Under" sheetId="5" r:id="rId5"/>
    <sheet name="Charts Center" sheetId="7" r:id="rId6"/>
  </sheet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57" i="6" l="1"/>
  <c r="AG57" i="6"/>
  <c r="AF57" i="6"/>
  <c r="AE57" i="6"/>
  <c r="AD57" i="6"/>
  <c r="AC57" i="6"/>
  <c r="AB57" i="6"/>
  <c r="V57" i="6"/>
  <c r="AH56" i="6"/>
  <c r="AG56" i="6"/>
  <c r="AF56" i="6"/>
  <c r="AE56" i="6"/>
  <c r="AD56" i="6"/>
  <c r="AC56" i="6"/>
  <c r="AB56" i="6"/>
  <c r="V56" i="6"/>
  <c r="AH55" i="6"/>
  <c r="AG55" i="6"/>
  <c r="AF55" i="6"/>
  <c r="AE55" i="6"/>
  <c r="AD55" i="6"/>
  <c r="AC55" i="6"/>
  <c r="AB55" i="6"/>
  <c r="V55" i="6"/>
  <c r="AH54" i="6"/>
  <c r="AG54" i="6"/>
  <c r="AF54" i="6"/>
  <c r="AE54" i="6"/>
  <c r="AD54" i="6"/>
  <c r="AC54" i="6"/>
  <c r="AB54" i="6"/>
  <c r="V54" i="6"/>
  <c r="AH53" i="6"/>
  <c r="AG53" i="6"/>
  <c r="AF53" i="6"/>
  <c r="AE53" i="6"/>
  <c r="AD53" i="6"/>
  <c r="AC53" i="6"/>
  <c r="AB53" i="6"/>
  <c r="V53" i="6"/>
  <c r="AH52" i="6"/>
  <c r="AG52" i="6"/>
  <c r="AF52" i="6"/>
  <c r="AE52" i="6"/>
  <c r="AD52" i="6"/>
  <c r="AC52" i="6"/>
  <c r="AB52" i="6"/>
  <c r="V52" i="6"/>
  <c r="AH45" i="2"/>
  <c r="AG45" i="2"/>
  <c r="AF45" i="2"/>
  <c r="AE45" i="2"/>
  <c r="AD45" i="2"/>
  <c r="AC45" i="2"/>
  <c r="AB45" i="2"/>
  <c r="V45" i="2"/>
  <c r="AH44" i="2"/>
  <c r="AG44" i="2"/>
  <c r="AF44" i="2"/>
  <c r="AE44" i="2"/>
  <c r="AD44" i="2"/>
  <c r="AC44" i="2"/>
  <c r="AB44" i="2"/>
  <c r="V44" i="2"/>
  <c r="AH43" i="2"/>
  <c r="AG43" i="2"/>
  <c r="AF43" i="2"/>
  <c r="AE43" i="2"/>
  <c r="AD43" i="2"/>
  <c r="AC43" i="2"/>
  <c r="AB43" i="2"/>
  <c r="V43" i="2"/>
  <c r="AG42" i="2"/>
  <c r="AF42" i="2"/>
  <c r="AE42" i="2"/>
  <c r="AC42" i="2"/>
  <c r="AB42" i="2"/>
  <c r="V42" i="2"/>
  <c r="AH47" i="3"/>
  <c r="AG47" i="3"/>
  <c r="AF47" i="3"/>
  <c r="AE47" i="3"/>
  <c r="AD47" i="3"/>
  <c r="AC47" i="3"/>
  <c r="AB47" i="3"/>
  <c r="V47" i="3"/>
  <c r="AH46" i="3"/>
  <c r="AG46" i="3"/>
  <c r="AF46" i="3"/>
  <c r="AE46" i="3"/>
  <c r="AD46" i="3"/>
  <c r="AC46" i="3"/>
  <c r="AB46" i="3"/>
  <c r="V46" i="3"/>
  <c r="AG45" i="3"/>
  <c r="AF45" i="3"/>
  <c r="AE45" i="3"/>
  <c r="AC45" i="3"/>
  <c r="AB45" i="3"/>
  <c r="V45" i="3"/>
  <c r="AG44" i="3"/>
  <c r="AF44" i="3"/>
  <c r="AE44" i="3"/>
  <c r="AC44" i="3"/>
  <c r="AB44" i="3"/>
  <c r="V44" i="3"/>
  <c r="AG43" i="3"/>
  <c r="AF43" i="3"/>
  <c r="AE43" i="3"/>
  <c r="AC43" i="3"/>
  <c r="AB43" i="3"/>
  <c r="V43" i="3"/>
  <c r="AG42" i="3"/>
  <c r="AF42" i="3"/>
  <c r="AE42" i="3"/>
  <c r="AC42" i="3"/>
  <c r="AB42" i="3"/>
  <c r="V42" i="3"/>
  <c r="V41" i="3"/>
  <c r="AG40" i="3"/>
  <c r="AF40" i="3"/>
  <c r="AE40" i="3"/>
  <c r="AC40" i="3"/>
  <c r="AB40" i="3"/>
  <c r="V40" i="3"/>
  <c r="AG39" i="3"/>
  <c r="AF39" i="3"/>
  <c r="AE39" i="3"/>
  <c r="AC39" i="3"/>
  <c r="AB39" i="3"/>
  <c r="V39" i="3"/>
  <c r="AG38" i="3"/>
  <c r="AF38" i="3"/>
  <c r="AE38" i="3"/>
  <c r="AC38" i="3"/>
  <c r="AB38" i="3"/>
  <c r="V38" i="3"/>
  <c r="AG37" i="3"/>
  <c r="AF37" i="3"/>
  <c r="AE37" i="3"/>
  <c r="AC37" i="3"/>
  <c r="AB37" i="3"/>
  <c r="V37" i="3"/>
  <c r="AG36" i="3"/>
  <c r="AF36" i="3"/>
  <c r="AE36" i="3"/>
  <c r="AC36" i="3"/>
  <c r="AB36" i="3"/>
  <c r="V36" i="3"/>
  <c r="AF35" i="3"/>
  <c r="AE35" i="3"/>
  <c r="AB35" i="3"/>
  <c r="V35" i="3"/>
  <c r="AG34" i="3"/>
  <c r="AF34" i="3"/>
  <c r="AE34" i="3"/>
  <c r="AC34" i="3"/>
  <c r="AB34" i="3"/>
  <c r="V34" i="3"/>
  <c r="AF33" i="3"/>
  <c r="AE33" i="3"/>
  <c r="AB33" i="3"/>
  <c r="V33" i="3"/>
  <c r="AF32" i="3"/>
  <c r="AE32" i="3"/>
  <c r="AB32" i="3"/>
  <c r="V32" i="3"/>
  <c r="V31" i="3"/>
  <c r="V30" i="3"/>
  <c r="V29" i="3"/>
  <c r="AE28" i="3"/>
  <c r="V28" i="3"/>
  <c r="AE27" i="3"/>
  <c r="V27" i="3"/>
  <c r="AF26" i="3"/>
  <c r="AE26" i="3"/>
  <c r="AB26" i="3"/>
  <c r="V26" i="3"/>
  <c r="AF25" i="3"/>
  <c r="AE25" i="3"/>
  <c r="AB25" i="3"/>
  <c r="V25" i="3"/>
  <c r="AD25" i="3"/>
  <c r="BH36" i="5"/>
  <c r="BH35" i="5"/>
  <c r="BH34" i="5"/>
  <c r="BH33" i="5"/>
  <c r="BH32" i="5"/>
  <c r="BH31" i="5"/>
  <c r="BH30" i="5"/>
  <c r="BH29" i="5"/>
  <c r="BH28" i="5"/>
  <c r="BH27" i="5"/>
  <c r="BH26" i="5"/>
  <c r="BH25" i="5"/>
  <c r="BH24" i="5"/>
  <c r="BH23" i="5"/>
  <c r="K4" i="7"/>
  <c r="K5" i="7"/>
  <c r="K6" i="7"/>
  <c r="K7" i="7"/>
  <c r="K8" i="7"/>
  <c r="K9" i="7"/>
  <c r="K10" i="7"/>
  <c r="K17" i="7"/>
  <c r="K18" i="7"/>
  <c r="K19" i="7"/>
  <c r="K20" i="7"/>
  <c r="K21" i="7"/>
  <c r="K22" i="7"/>
  <c r="K23" i="7"/>
  <c r="AI40" i="7"/>
  <c r="AI39" i="7"/>
  <c r="AI38" i="7"/>
  <c r="BH38" i="7"/>
  <c r="AI37" i="7"/>
  <c r="BH37" i="7"/>
  <c r="AI36" i="7"/>
  <c r="BH36" i="7"/>
  <c r="AI35" i="7"/>
  <c r="BH35" i="7"/>
  <c r="AI34" i="7"/>
  <c r="BH34" i="7"/>
  <c r="AI33" i="7"/>
  <c r="BH33" i="7"/>
  <c r="AI32" i="7"/>
  <c r="BH32" i="7"/>
  <c r="AI31" i="7"/>
  <c r="BH31" i="7"/>
  <c r="BH30" i="7"/>
  <c r="BH29" i="7"/>
  <c r="BH28" i="7"/>
  <c r="BH27" i="7"/>
  <c r="BH26" i="7"/>
  <c r="AI26" i="7"/>
  <c r="BH25" i="7"/>
  <c r="AI25" i="7"/>
  <c r="BH24" i="7"/>
  <c r="AI24" i="7"/>
  <c r="BH23" i="7"/>
  <c r="AI23" i="7"/>
  <c r="AI22" i="7"/>
  <c r="AI21" i="7"/>
  <c r="AI20" i="7"/>
  <c r="BH19" i="7"/>
  <c r="AI19" i="7"/>
  <c r="BH18" i="7"/>
  <c r="AI18" i="7"/>
  <c r="BH17" i="7"/>
  <c r="AI17" i="7"/>
  <c r="BH16" i="7"/>
  <c r="BH15" i="7"/>
  <c r="BH14" i="7"/>
  <c r="BH13" i="7"/>
  <c r="AI13" i="7"/>
  <c r="BH12" i="7"/>
  <c r="AI12" i="7"/>
  <c r="BH11" i="7"/>
  <c r="AI11" i="7"/>
  <c r="BH10" i="7"/>
  <c r="AI10" i="7"/>
  <c r="BH9" i="7"/>
  <c r="AI9" i="7"/>
  <c r="BH8" i="7"/>
  <c r="AI8" i="7"/>
  <c r="BH7" i="7"/>
  <c r="AI7" i="7"/>
  <c r="BH6" i="7"/>
  <c r="AI6" i="7"/>
  <c r="BH5" i="7"/>
  <c r="AI5" i="7"/>
  <c r="BH4" i="7"/>
  <c r="AI4" i="7"/>
  <c r="AG51" i="6"/>
  <c r="AF51" i="6"/>
  <c r="AE51" i="6"/>
  <c r="AC51" i="6"/>
  <c r="AB51" i="6"/>
  <c r="V51" i="6"/>
  <c r="AG50" i="6"/>
  <c r="AF50" i="6"/>
  <c r="AE50" i="6"/>
  <c r="AC50" i="6"/>
  <c r="AB50" i="6"/>
  <c r="V50" i="6"/>
  <c r="AF49" i="6"/>
  <c r="AE49" i="6"/>
  <c r="AB49" i="6"/>
  <c r="V49" i="6"/>
  <c r="AH48" i="6"/>
  <c r="AF48" i="6"/>
  <c r="AE48" i="6"/>
  <c r="AD48" i="6"/>
  <c r="AB48" i="6"/>
  <c r="V48" i="6"/>
  <c r="AH47" i="6"/>
  <c r="AF47" i="6"/>
  <c r="AE47" i="6"/>
  <c r="AD47" i="6"/>
  <c r="AB47" i="6"/>
  <c r="V47" i="6"/>
  <c r="AF46" i="6"/>
  <c r="AE46" i="6"/>
  <c r="AB46" i="6"/>
  <c r="V46" i="6"/>
  <c r="AF45" i="6"/>
  <c r="AE45" i="6"/>
  <c r="AB45" i="6"/>
  <c r="V45" i="6"/>
  <c r="AB37" i="6"/>
  <c r="AG44" i="6"/>
  <c r="AF44" i="6"/>
  <c r="AE44" i="6"/>
  <c r="AC44" i="6"/>
  <c r="AB44" i="6"/>
  <c r="V44" i="6"/>
  <c r="AG43" i="6"/>
  <c r="AF43" i="6"/>
  <c r="AE43" i="6"/>
  <c r="AC43" i="6"/>
  <c r="AB43" i="6"/>
  <c r="V43" i="6"/>
  <c r="AG42" i="6"/>
  <c r="AF42" i="6"/>
  <c r="AE42" i="6"/>
  <c r="AC42" i="6"/>
  <c r="AB42" i="6"/>
  <c r="V42" i="6"/>
  <c r="AG41" i="6"/>
  <c r="AF41" i="6"/>
  <c r="AE41" i="6"/>
  <c r="AC41" i="6"/>
  <c r="AB41" i="6"/>
  <c r="V41" i="6"/>
  <c r="AG40" i="6"/>
  <c r="AF40" i="6"/>
  <c r="AE40" i="6"/>
  <c r="AC40" i="6"/>
  <c r="AB40" i="6"/>
  <c r="V40" i="6"/>
  <c r="AG39" i="6"/>
  <c r="AF39" i="6"/>
  <c r="AE39" i="6"/>
  <c r="AC39" i="6"/>
  <c r="AB39" i="6"/>
  <c r="V39" i="6"/>
  <c r="AG38" i="6"/>
  <c r="AF38" i="6"/>
  <c r="AE38" i="6"/>
  <c r="AC38" i="6"/>
  <c r="AB38" i="6"/>
  <c r="V38" i="6"/>
  <c r="AG37" i="6"/>
  <c r="AF37" i="6"/>
  <c r="AE37" i="6"/>
  <c r="AC37" i="6"/>
  <c r="V37" i="6"/>
  <c r="AG36" i="6"/>
  <c r="AF36" i="6"/>
  <c r="AE36" i="6"/>
  <c r="AC36" i="6"/>
  <c r="AB36" i="6"/>
  <c r="V36" i="6"/>
  <c r="AF35" i="6"/>
  <c r="AE35" i="6"/>
  <c r="AB35" i="6"/>
  <c r="V35" i="6"/>
  <c r="AF34" i="6"/>
  <c r="AE34" i="6"/>
  <c r="AB34" i="6"/>
  <c r="V34" i="6"/>
  <c r="AG33" i="6"/>
  <c r="AF33" i="6"/>
  <c r="AE33" i="6"/>
  <c r="AC33" i="6"/>
  <c r="AB33" i="6"/>
  <c r="V33" i="6"/>
  <c r="AG32" i="6"/>
  <c r="AF32" i="6"/>
  <c r="AE32" i="6"/>
  <c r="AC32" i="6"/>
  <c r="AB32" i="6"/>
  <c r="V32" i="6"/>
  <c r="AG31" i="6"/>
  <c r="AF31" i="6"/>
  <c r="AE31" i="6"/>
  <c r="AC31" i="6"/>
  <c r="AB31" i="6"/>
  <c r="V31" i="6"/>
  <c r="AG30" i="6"/>
  <c r="AF30" i="6"/>
  <c r="AE30" i="6"/>
  <c r="AC30" i="6"/>
  <c r="AB30" i="6"/>
  <c r="V30" i="6"/>
  <c r="AF29" i="6"/>
  <c r="AE29" i="6"/>
  <c r="AB29" i="6"/>
  <c r="V29" i="6"/>
  <c r="AF28" i="6"/>
  <c r="AE28" i="6"/>
  <c r="AB28" i="6"/>
  <c r="V28" i="6"/>
  <c r="AF27" i="6"/>
  <c r="AE27" i="6"/>
  <c r="AB27" i="6"/>
  <c r="V27" i="6"/>
  <c r="AF26" i="6"/>
  <c r="AE26" i="6"/>
  <c r="AB26" i="6"/>
  <c r="V26" i="6"/>
  <c r="AH41" i="2"/>
  <c r="AG41" i="2"/>
  <c r="AF41" i="2"/>
  <c r="AE41" i="2"/>
  <c r="AD41" i="2"/>
  <c r="AC41" i="2"/>
  <c r="AB41" i="2"/>
  <c r="V41" i="2"/>
  <c r="AH40" i="2"/>
  <c r="AG40" i="2"/>
  <c r="AF40" i="2"/>
  <c r="AE40" i="2"/>
  <c r="AD40" i="2"/>
  <c r="AC40" i="2"/>
  <c r="AB40" i="2"/>
  <c r="V40" i="2"/>
  <c r="AH39" i="2"/>
  <c r="AG39" i="2"/>
  <c r="AF39" i="2"/>
  <c r="AE39" i="2"/>
  <c r="AD39" i="2"/>
  <c r="AC39" i="2"/>
  <c r="AB39" i="2"/>
  <c r="V39" i="2"/>
  <c r="AH38" i="2"/>
  <c r="AG38" i="2"/>
  <c r="AF38" i="2"/>
  <c r="AE38" i="2"/>
  <c r="AD38" i="2"/>
  <c r="AC38" i="2"/>
  <c r="AB38" i="2"/>
  <c r="V38" i="2"/>
  <c r="AH37" i="2"/>
  <c r="AF37" i="2"/>
  <c r="AE37" i="2"/>
  <c r="AD37" i="2"/>
  <c r="AB37" i="2"/>
  <c r="V37" i="2"/>
  <c r="AH36" i="2"/>
  <c r="AG36" i="2"/>
  <c r="AF36" i="2"/>
  <c r="AE36" i="2"/>
  <c r="AD36" i="2"/>
  <c r="AC36" i="2"/>
  <c r="AB36" i="2"/>
  <c r="V36" i="2"/>
  <c r="AG35" i="2"/>
  <c r="AF35" i="2"/>
  <c r="AE35" i="2"/>
  <c r="AC35" i="2"/>
  <c r="AB35" i="2"/>
  <c r="V35" i="2"/>
  <c r="AG34" i="2"/>
  <c r="AF34" i="2"/>
  <c r="AE34" i="2"/>
  <c r="AC34" i="2"/>
  <c r="AB34" i="2"/>
  <c r="V34" i="2"/>
  <c r="AG33" i="2"/>
  <c r="AF33" i="2"/>
  <c r="AE33" i="2"/>
  <c r="AC33" i="2"/>
  <c r="AB33" i="2"/>
  <c r="V33" i="2"/>
  <c r="AG32" i="2"/>
  <c r="AF32" i="2"/>
  <c r="AE32" i="2"/>
  <c r="AC32" i="2"/>
  <c r="AB32" i="2"/>
  <c r="V32" i="2"/>
  <c r="AF31" i="2"/>
  <c r="AE31" i="2"/>
  <c r="AB31" i="2"/>
  <c r="V31" i="2"/>
  <c r="AF30" i="2"/>
  <c r="AE30" i="2"/>
  <c r="AB30" i="2"/>
  <c r="V30" i="2"/>
  <c r="AG29" i="2"/>
  <c r="AF29" i="2"/>
  <c r="AE29" i="2"/>
  <c r="AC29" i="2"/>
  <c r="AB29" i="2"/>
  <c r="V29" i="2"/>
  <c r="AG28" i="2"/>
  <c r="AF28" i="2"/>
  <c r="AE28" i="2"/>
  <c r="AC28" i="2"/>
  <c r="AB28" i="2"/>
  <c r="V28" i="2"/>
  <c r="AG27" i="2"/>
  <c r="AF27" i="2"/>
  <c r="AE27" i="2"/>
  <c r="AC27" i="2"/>
  <c r="AB27" i="2"/>
  <c r="V27" i="2"/>
  <c r="AG26" i="2"/>
  <c r="AF26" i="2"/>
  <c r="AE26" i="2"/>
  <c r="AC26" i="2"/>
  <c r="AB26" i="2"/>
  <c r="V26" i="2"/>
  <c r="AF25" i="2"/>
  <c r="AE25" i="2"/>
  <c r="AB25" i="2"/>
  <c r="V25" i="2"/>
  <c r="AF24" i="2"/>
  <c r="AE24" i="2"/>
  <c r="AB24" i="2"/>
  <c r="V24" i="2"/>
  <c r="AF23" i="2"/>
  <c r="AE23" i="2"/>
  <c r="AB23" i="2"/>
  <c r="V23" i="2"/>
  <c r="AG22" i="2"/>
  <c r="AF22" i="2"/>
  <c r="AE22" i="2"/>
  <c r="AC22" i="2"/>
  <c r="AB22" i="2"/>
  <c r="V22" i="2"/>
  <c r="AG21" i="2"/>
  <c r="AF21" i="2"/>
  <c r="AE21" i="2"/>
  <c r="AC21" i="2"/>
  <c r="AB21" i="2"/>
  <c r="V21" i="2"/>
  <c r="AG20" i="2"/>
  <c r="AF20" i="2"/>
  <c r="AE20" i="2"/>
  <c r="AC20" i="2"/>
  <c r="AB20" i="2"/>
  <c r="V20" i="2"/>
  <c r="AF19" i="2"/>
  <c r="AE19" i="2"/>
  <c r="AB19" i="2"/>
  <c r="V19" i="2"/>
  <c r="AG18" i="2"/>
  <c r="AF18" i="2"/>
  <c r="AE18" i="2"/>
  <c r="AC18" i="2"/>
  <c r="AB18" i="2"/>
  <c r="V18" i="2"/>
  <c r="AG17" i="2"/>
  <c r="AF17" i="2"/>
  <c r="AE17" i="2"/>
  <c r="AC17" i="2"/>
  <c r="AB17" i="2"/>
  <c r="V17" i="2"/>
  <c r="AB16" i="2"/>
  <c r="V16" i="2"/>
  <c r="AE15" i="2"/>
  <c r="AB15" i="2"/>
  <c r="V15" i="2"/>
  <c r="AG14" i="2"/>
  <c r="AF14" i="2"/>
  <c r="AE14" i="2"/>
  <c r="AC14" i="2"/>
  <c r="AB14" i="2"/>
  <c r="V14" i="2"/>
  <c r="AG13" i="2"/>
  <c r="AF13" i="2"/>
  <c r="AE13" i="2"/>
  <c r="AC13" i="2"/>
  <c r="AB13" i="2"/>
  <c r="V13" i="2"/>
  <c r="AG12" i="2"/>
  <c r="AF12" i="2"/>
  <c r="AE12" i="2"/>
  <c r="AC12" i="2"/>
  <c r="AB12" i="2"/>
  <c r="V12" i="2"/>
  <c r="AG11" i="2"/>
  <c r="AF11" i="2"/>
  <c r="AE11" i="2"/>
  <c r="AC11" i="2"/>
  <c r="AB11" i="2"/>
  <c r="V11" i="2"/>
  <c r="AF10" i="2"/>
  <c r="AE10" i="2"/>
  <c r="AB10" i="2"/>
  <c r="V10" i="2"/>
  <c r="AF9" i="2"/>
  <c r="AE9" i="2"/>
  <c r="AB9" i="2"/>
  <c r="V9" i="2"/>
  <c r="AF8" i="2"/>
  <c r="AE8" i="2"/>
  <c r="AB8" i="2"/>
  <c r="V8" i="2"/>
  <c r="AH24" i="3"/>
  <c r="AG24" i="3"/>
  <c r="AF24" i="3"/>
  <c r="AE24" i="3"/>
  <c r="AD24" i="3"/>
  <c r="AC24" i="3"/>
  <c r="AB24" i="3"/>
  <c r="V24" i="3"/>
  <c r="AH23" i="3"/>
  <c r="AG23" i="3"/>
  <c r="AF23" i="3"/>
  <c r="AE23" i="3"/>
  <c r="AD23" i="3"/>
  <c r="AC23" i="3"/>
  <c r="AB23" i="3"/>
  <c r="V23" i="3"/>
  <c r="AH22" i="3"/>
  <c r="AG22" i="3"/>
  <c r="AF22" i="3"/>
  <c r="AE22" i="3"/>
  <c r="AD22" i="3"/>
  <c r="AC22" i="3"/>
  <c r="AB22" i="3"/>
  <c r="V22" i="3"/>
  <c r="AH21" i="3"/>
  <c r="AG21" i="3"/>
  <c r="AF21" i="3"/>
  <c r="AE21" i="3"/>
  <c r="AD21" i="3"/>
  <c r="AC21" i="3"/>
  <c r="AB21" i="3"/>
  <c r="V21" i="3"/>
  <c r="AH20" i="3"/>
  <c r="AG20" i="3"/>
  <c r="AF20" i="3"/>
  <c r="AE20" i="3"/>
  <c r="AD20" i="3"/>
  <c r="AC20" i="3"/>
  <c r="AB20" i="3"/>
  <c r="V20" i="3"/>
  <c r="AH19" i="3"/>
  <c r="AG19" i="3"/>
  <c r="AF19" i="3"/>
  <c r="AE19" i="3"/>
  <c r="AD19" i="3"/>
  <c r="AC19" i="3"/>
  <c r="AB19" i="3"/>
  <c r="V19" i="3"/>
  <c r="AH18" i="3"/>
  <c r="AG18" i="3"/>
  <c r="AF18" i="3"/>
  <c r="AE18" i="3"/>
  <c r="AD18" i="3"/>
  <c r="AC18" i="3"/>
  <c r="AB18" i="3"/>
  <c r="V18" i="3"/>
  <c r="AH17" i="3"/>
  <c r="AG17" i="3"/>
  <c r="AF17" i="3"/>
  <c r="AE17" i="3"/>
  <c r="AD17" i="3"/>
  <c r="AC17" i="3"/>
  <c r="AB17" i="3"/>
  <c r="V17" i="3"/>
  <c r="AG16" i="3"/>
  <c r="AF16" i="3"/>
  <c r="AE16" i="3"/>
  <c r="AC16" i="3"/>
  <c r="AB16" i="3"/>
  <c r="V16" i="3"/>
  <c r="AG15" i="3"/>
  <c r="AF15" i="3"/>
  <c r="AE15" i="3"/>
  <c r="AC15" i="3"/>
  <c r="AB15" i="3"/>
  <c r="V15" i="3"/>
  <c r="AG14" i="3"/>
  <c r="AF14" i="3"/>
  <c r="AE14" i="3"/>
  <c r="AC14" i="3"/>
  <c r="AB14" i="3"/>
  <c r="V14" i="3"/>
  <c r="AE13" i="3"/>
  <c r="AD13" i="3"/>
  <c r="V13" i="3"/>
  <c r="AH12" i="3"/>
  <c r="AG12" i="3"/>
  <c r="AF12" i="3"/>
  <c r="AE12" i="3"/>
  <c r="AD12" i="3"/>
  <c r="AC12" i="3"/>
  <c r="AB12" i="3"/>
  <c r="V12" i="3"/>
  <c r="AH11" i="3"/>
  <c r="AG11" i="3"/>
  <c r="AF11" i="3"/>
  <c r="AE11" i="3"/>
  <c r="AD11" i="3"/>
  <c r="AC11" i="3"/>
  <c r="AB11" i="3"/>
  <c r="V11" i="3"/>
  <c r="AH10" i="3"/>
  <c r="AG10" i="3"/>
  <c r="AF10" i="3"/>
  <c r="AE10" i="3"/>
  <c r="AD10" i="3"/>
  <c r="AC10" i="3"/>
  <c r="AB10" i="3"/>
  <c r="V10" i="3"/>
  <c r="AH9" i="3"/>
  <c r="AG9" i="3"/>
  <c r="AF9" i="3"/>
  <c r="AE9" i="3"/>
  <c r="AD9" i="3"/>
  <c r="AC9" i="3"/>
  <c r="AB9" i="3"/>
  <c r="V9" i="3"/>
  <c r="AH8" i="3"/>
  <c r="AF8" i="3"/>
  <c r="AE8" i="3"/>
  <c r="AD8" i="3"/>
  <c r="AB8" i="3"/>
  <c r="V8" i="3"/>
  <c r="AF7" i="3"/>
  <c r="AE7" i="3"/>
  <c r="AB7" i="3"/>
  <c r="V7" i="3"/>
  <c r="AG6" i="3"/>
  <c r="AF6" i="3"/>
  <c r="AE6" i="3"/>
  <c r="AC6" i="3"/>
  <c r="AB6" i="3"/>
  <c r="V6" i="3"/>
  <c r="AG5" i="3"/>
  <c r="AF5" i="3"/>
  <c r="AE5" i="3"/>
  <c r="AC5" i="3"/>
  <c r="AB5" i="3"/>
  <c r="V5" i="3"/>
  <c r="AF4" i="3"/>
  <c r="AE4" i="3"/>
  <c r="AB4" i="3"/>
  <c r="V4" i="3"/>
  <c r="AF25" i="6"/>
  <c r="AE25" i="6"/>
  <c r="AB25" i="6"/>
  <c r="V25" i="6"/>
  <c r="AF24" i="6"/>
  <c r="AE24" i="6"/>
  <c r="AB24" i="6"/>
  <c r="V24" i="6"/>
  <c r="AF23" i="6"/>
  <c r="AE23" i="6"/>
  <c r="AB23" i="6"/>
  <c r="V23" i="6"/>
  <c r="AF22" i="6"/>
  <c r="AE22" i="6"/>
  <c r="AB22" i="6"/>
  <c r="V22" i="6"/>
  <c r="AF21" i="6"/>
  <c r="AE21" i="6"/>
  <c r="AB21" i="6"/>
  <c r="V21" i="6"/>
  <c r="AF20" i="6"/>
  <c r="AE20" i="6"/>
  <c r="AB20" i="6"/>
  <c r="V20" i="6"/>
  <c r="AF19" i="6"/>
  <c r="AE19" i="6"/>
  <c r="AB19" i="6"/>
  <c r="V19" i="6"/>
  <c r="AF18" i="6"/>
  <c r="AE18" i="6"/>
  <c r="AB18" i="6"/>
  <c r="V18" i="6"/>
  <c r="BH18" i="5"/>
  <c r="AF7" i="2"/>
  <c r="AE7" i="2"/>
  <c r="AB7" i="2"/>
  <c r="V7" i="2"/>
  <c r="AF6" i="2"/>
  <c r="AE6" i="2"/>
  <c r="AB6" i="2"/>
  <c r="V6" i="2"/>
  <c r="AF5" i="2"/>
  <c r="AE5" i="2"/>
  <c r="AB5" i="2"/>
  <c r="V5" i="2"/>
  <c r="AE4" i="2"/>
  <c r="V4" i="2"/>
  <c r="AF17" i="6"/>
  <c r="AE17" i="6"/>
  <c r="AB17" i="6"/>
  <c r="V17" i="6"/>
  <c r="AF16" i="6"/>
  <c r="AE16" i="6"/>
  <c r="AB16" i="6"/>
  <c r="V16" i="6"/>
  <c r="AH15" i="6"/>
  <c r="AG15" i="6"/>
  <c r="AF15" i="6"/>
  <c r="AE15" i="6"/>
  <c r="AD15" i="6"/>
  <c r="AC15" i="6"/>
  <c r="AB15" i="6"/>
  <c r="V15" i="6"/>
  <c r="AC10" i="6"/>
  <c r="AB4" i="6"/>
  <c r="K4" i="5"/>
  <c r="AE14" i="6"/>
  <c r="V14" i="6"/>
  <c r="AF13" i="6"/>
  <c r="AE13" i="6"/>
  <c r="AB13" i="6"/>
  <c r="V13" i="6"/>
  <c r="AH12" i="6"/>
  <c r="AG12" i="6"/>
  <c r="AF12" i="6"/>
  <c r="AE12" i="6"/>
  <c r="AD12" i="6"/>
  <c r="AC12" i="6"/>
  <c r="AB12" i="6"/>
  <c r="V12" i="6"/>
  <c r="AH11" i="6"/>
  <c r="AG11" i="6"/>
  <c r="AF11" i="6"/>
  <c r="AE11" i="6"/>
  <c r="AD11" i="6"/>
  <c r="AC11" i="6"/>
  <c r="AB11" i="6"/>
  <c r="V11" i="6"/>
  <c r="AH10" i="6"/>
  <c r="AG10" i="6"/>
  <c r="AF10" i="6"/>
  <c r="AE10" i="6"/>
  <c r="AD10" i="6"/>
  <c r="AB10" i="6"/>
  <c r="V10" i="6"/>
  <c r="AF9" i="6"/>
  <c r="AE9" i="6"/>
  <c r="AD9" i="6"/>
  <c r="AB9" i="6"/>
  <c r="V9" i="6"/>
  <c r="V8" i="6"/>
  <c r="AE7" i="6"/>
  <c r="AD7" i="6"/>
  <c r="V7" i="6"/>
  <c r="AE6" i="6"/>
  <c r="AD6" i="6"/>
  <c r="V6" i="6"/>
  <c r="AE5" i="6"/>
  <c r="AD5" i="6"/>
  <c r="V5" i="6"/>
  <c r="AD4" i="6"/>
  <c r="V4" i="6"/>
  <c r="AI40" i="5"/>
  <c r="AI39" i="5"/>
  <c r="AI38" i="5"/>
  <c r="AI37" i="5"/>
  <c r="AI36" i="5"/>
  <c r="AI35" i="5"/>
  <c r="AI34" i="5"/>
  <c r="AI33" i="5"/>
  <c r="AI32" i="5"/>
  <c r="AI31" i="5"/>
  <c r="AI26" i="5"/>
  <c r="AI25" i="5"/>
  <c r="AI24" i="5"/>
  <c r="AI23" i="5"/>
  <c r="K23" i="5"/>
  <c r="AI22" i="5"/>
  <c r="K22" i="5"/>
  <c r="AI21" i="5"/>
  <c r="K21" i="5"/>
  <c r="AI20" i="5"/>
  <c r="K20" i="5"/>
  <c r="AI19" i="5"/>
  <c r="K19" i="5"/>
  <c r="AI18" i="5"/>
  <c r="K18" i="5"/>
  <c r="BH17" i="5"/>
  <c r="AI17" i="5"/>
  <c r="K17" i="5"/>
  <c r="BH16" i="5"/>
  <c r="BH15" i="5"/>
  <c r="BH14" i="5"/>
  <c r="BH13" i="5"/>
  <c r="AI13" i="5"/>
  <c r="BH12" i="5"/>
  <c r="AI12" i="5"/>
  <c r="BH11" i="5"/>
  <c r="AI11" i="5"/>
  <c r="BH10" i="5"/>
  <c r="AI10" i="5"/>
  <c r="K10" i="5"/>
  <c r="BH9" i="5"/>
  <c r="AI9" i="5"/>
  <c r="K9" i="5"/>
  <c r="BH8" i="5"/>
  <c r="AI8" i="5"/>
  <c r="K8" i="5"/>
  <c r="BH7" i="5"/>
  <c r="AI7" i="5"/>
  <c r="K7" i="5"/>
  <c r="BH6" i="5"/>
  <c r="AI6" i="5"/>
  <c r="K6" i="5"/>
  <c r="BH5" i="5"/>
  <c r="AI5" i="5"/>
  <c r="K5" i="5"/>
  <c r="BH4" i="5"/>
  <c r="AI4" i="5"/>
</calcChain>
</file>

<file path=xl/sharedStrings.xml><?xml version="1.0" encoding="utf-8"?>
<sst xmlns="http://schemas.openxmlformats.org/spreadsheetml/2006/main" count="3733" uniqueCount="193">
  <si>
    <t>"B" 
Vertical space above the window</t>
  </si>
  <si>
    <t>"C" 
Space from floor to the top of the window molding</t>
  </si>
  <si>
    <t>"D"
space on the Left side of the window</t>
  </si>
  <si>
    <t>"E"
space on the right side of the window</t>
  </si>
  <si>
    <t>Hardware Projection:
3 1/2
5 1/2</t>
  </si>
  <si>
    <t xml:space="preserve">"A" 
Pattern </t>
  </si>
  <si>
    <t>"A"
Color</t>
  </si>
  <si>
    <t xml:space="preserve">
"B"
Pattern </t>
  </si>
  <si>
    <t xml:space="preserve">
"B"
Color</t>
  </si>
  <si>
    <t>Apply Trim  
Yes
No</t>
  </si>
  <si>
    <t>"yes"
Trim- 
Pattern</t>
  </si>
  <si>
    <t>"yes"
Trim-  
Color</t>
  </si>
  <si>
    <t>Special Instruction</t>
  </si>
  <si>
    <t>Swag positon
Pair</t>
  </si>
  <si>
    <t>Swag Gathering Take up allowance 
2</t>
  </si>
  <si>
    <t>Swags pocket size
1</t>
  </si>
  <si>
    <t>Swags hem size 
.5</t>
  </si>
  <si>
    <t>Fabric Price Group
Refer to Fabrics  specs</t>
  </si>
  <si>
    <t># of yrds Trim on swag
== (Meas A-MF*2) x fullnes +(Swag tail+Swag Takeup x2)*widths/36</t>
  </si>
  <si>
    <r>
      <t>Labor on swag
= # of width (</t>
    </r>
    <r>
      <rPr>
        <b/>
        <sz val="8"/>
        <color theme="8"/>
        <rFont val="Calibri (Body)"/>
      </rPr>
      <t>round up to next even number</t>
    </r>
    <r>
      <rPr>
        <b/>
        <sz val="8"/>
        <color rgb="FFFA7D00"/>
        <rFont val="Calibri"/>
        <family val="2"/>
        <scheme val="minor"/>
      </rPr>
      <t>) X labor of each swag</t>
    </r>
  </si>
  <si>
    <t>Cost of fabrics
Pattern "A"</t>
  </si>
  <si>
    <t>Cost of Fabrics Pattern" B"</t>
  </si>
  <si>
    <t>Cost of trim</t>
  </si>
  <si>
    <t>North</t>
  </si>
  <si>
    <t>Yes</t>
  </si>
  <si>
    <t>Anat</t>
  </si>
  <si>
    <t>Red</t>
  </si>
  <si>
    <t>Steve</t>
  </si>
  <si>
    <t>Green</t>
  </si>
  <si>
    <t>Self</t>
  </si>
  <si>
    <t>Coby</t>
  </si>
  <si>
    <t>None</t>
  </si>
  <si>
    <t>No</t>
  </si>
  <si>
    <t>Nova</t>
  </si>
  <si>
    <t>Blue</t>
  </si>
  <si>
    <t>Roman Leaf</t>
  </si>
  <si>
    <t>Over Swag</t>
  </si>
  <si>
    <t>Test</t>
  </si>
  <si>
    <t>White</t>
  </si>
  <si>
    <t>Test 1</t>
  </si>
  <si>
    <t>Off white</t>
  </si>
  <si>
    <t>Black</t>
  </si>
  <si>
    <t>Dining</t>
  </si>
  <si>
    <t>NA</t>
  </si>
  <si>
    <t>Living</t>
  </si>
  <si>
    <t>Fab A -Top, Fab B - Bottom</t>
  </si>
  <si>
    <t>A-100% , B-100%</t>
  </si>
  <si>
    <t>Victorian</t>
  </si>
  <si>
    <t>Under Swag</t>
  </si>
  <si>
    <t>Fab B -Top, Fab A - Bottom</t>
  </si>
  <si>
    <t>South</t>
  </si>
  <si>
    <t>A-50% , B-50%</t>
  </si>
  <si>
    <t>Other</t>
  </si>
  <si>
    <t>French Shell</t>
  </si>
  <si>
    <t>East</t>
  </si>
  <si>
    <t>A-25% , B-75%</t>
  </si>
  <si>
    <t>Roman Shell</t>
  </si>
  <si>
    <t>West</t>
  </si>
  <si>
    <t>Gothic</t>
  </si>
  <si>
    <t>Rose Passion</t>
  </si>
  <si>
    <t>Taha</t>
  </si>
  <si>
    <t>Aba</t>
  </si>
  <si>
    <t>Taupe</t>
  </si>
  <si>
    <t>Burgundy</t>
  </si>
  <si>
    <t>Test1</t>
  </si>
  <si>
    <t>Swag Position Pair</t>
  </si>
  <si>
    <t>Fab A Group = A</t>
  </si>
  <si>
    <t>Bed</t>
  </si>
  <si>
    <t>Orange</t>
  </si>
  <si>
    <t>Lining</t>
  </si>
  <si>
    <t>Test2</t>
  </si>
  <si>
    <t>Test5</t>
  </si>
  <si>
    <t>Test6</t>
  </si>
  <si>
    <t>Liv</t>
  </si>
  <si>
    <r>
      <rPr>
        <b/>
        <sz val="10"/>
        <color rgb="FFFF0000"/>
        <rFont val="Arial"/>
        <family val="2"/>
      </rPr>
      <t xml:space="preserve"> "Small"</t>
    </r>
    <r>
      <rPr>
        <b/>
        <sz val="10"/>
        <color rgb="FF000000"/>
        <rFont val="Arial"/>
        <family val="2"/>
      </rPr>
      <t xml:space="preserve"> roman leaf crown 5 piece combo</t>
    </r>
  </si>
  <si>
    <r>
      <rPr>
        <b/>
        <sz val="10"/>
        <color rgb="FFFF0000"/>
        <rFont val="Arial"/>
        <family val="2"/>
      </rPr>
      <t xml:space="preserve">"Medium" </t>
    </r>
    <r>
      <rPr>
        <b/>
        <sz val="10"/>
        <color rgb="FF000000"/>
        <rFont val="Arial"/>
        <family val="2"/>
      </rPr>
      <t>French shell crown 5 piece combo</t>
    </r>
  </si>
  <si>
    <r>
      <rPr>
        <b/>
        <sz val="10"/>
        <color rgb="FFFF0000"/>
        <rFont val="Arial"/>
        <family val="2"/>
      </rPr>
      <t xml:space="preserve">"Large" </t>
    </r>
    <r>
      <rPr>
        <b/>
        <sz val="10"/>
        <color rgb="FF000000"/>
        <rFont val="Arial"/>
        <family val="2"/>
      </rPr>
      <t>Nova Crown 5 piece combo</t>
    </r>
  </si>
  <si>
    <t>Combo type</t>
  </si>
  <si>
    <t>Swag Type</t>
  </si>
  <si>
    <t xml:space="preserve">"A Minimum"
Horizontal size of window frame </t>
  </si>
  <si>
    <t>"A Maximum"
Horizontal size of window frame</t>
  </si>
  <si>
    <t xml:space="preserve">"B"
Space above the window </t>
  </si>
  <si>
    <t>"C" 
Minimum Space from floor to the top of the window frame</t>
  </si>
  <si>
    <t>"C" Maximum 
Space from floor to the top of the window frame</t>
  </si>
  <si>
    <t xml:space="preserve">"D"
Space need it on Left side of the windows
</t>
  </si>
  <si>
    <t>"E"
Space need it on right side of the windows</t>
  </si>
  <si>
    <t>"F"
Swag Cut out measurments</t>
  </si>
  <si>
    <t>"G"
Scroll angle measurment</t>
  </si>
  <si>
    <t>Fullness Factor</t>
  </si>
  <si>
    <t>"Swag Depth"</t>
  </si>
  <si>
    <t># Of fabric widths</t>
  </si>
  <si>
    <t xml:space="preserve">Scroll Swag Cascade Length
(left or right) </t>
  </si>
  <si>
    <t>Left Scroll swagTail Length
(left or right)</t>
  </si>
  <si>
    <t>Labor per swag</t>
  </si>
  <si>
    <t>Fabric price Group</t>
  </si>
  <si>
    <t>Trim Cost per yard</t>
  </si>
  <si>
    <t>Hardware Color</t>
  </si>
  <si>
    <t>Combo Type</t>
  </si>
  <si>
    <t>"B"
Space above the window frame</t>
  </si>
  <si>
    <t xml:space="preserve">"D"
Space on the Left side of the window frame
</t>
  </si>
  <si>
    <t>"E"
Space on right side of the window frame</t>
  </si>
  <si>
    <t>Fullness Multiplier</t>
  </si>
  <si>
    <t xml:space="preserve">Scroll Swag Cascades Length
(left or right) </t>
  </si>
  <si>
    <t>Roman leaf  crown combo</t>
  </si>
  <si>
    <t>Over swag
Under swag</t>
  </si>
  <si>
    <t>25"</t>
  </si>
  <si>
    <t>PGA= 25
PGB=30
PGC=35
PGD=40</t>
  </si>
  <si>
    <t>PGA= 10
PGB=15
PGC=20
PGD=30</t>
  </si>
  <si>
    <t>AG=Antiqu gold
AS=Antique Silver
RG=Radiant Gold
PS=Platinum Silver                 
OB=Old black</t>
  </si>
  <si>
    <t xml:space="preserve">French shell crown combo
</t>
  </si>
  <si>
    <t>Nova crown combo</t>
  </si>
  <si>
    <r>
      <rPr>
        <b/>
        <sz val="10"/>
        <color rgb="FFFF0000"/>
        <rFont val="Arial"/>
        <family val="2"/>
      </rPr>
      <t xml:space="preserve">"Small " </t>
    </r>
    <r>
      <rPr>
        <b/>
        <sz val="10"/>
        <color rgb="FF000000"/>
        <rFont val="Arial"/>
        <family val="2"/>
      </rPr>
      <t>Victorian crown 5 piece combo</t>
    </r>
  </si>
  <si>
    <r>
      <rPr>
        <b/>
        <sz val="10"/>
        <color rgb="FFFF0000"/>
        <rFont val="Arial"/>
        <family val="2"/>
      </rPr>
      <t>"Medium"</t>
    </r>
    <r>
      <rPr>
        <b/>
        <sz val="10"/>
        <color rgb="FF000000"/>
        <rFont val="Arial"/>
        <family val="2"/>
      </rPr>
      <t xml:space="preserve"> Roma shell crown 5 piece combo</t>
    </r>
  </si>
  <si>
    <t>Victorian crown combo</t>
  </si>
  <si>
    <t xml:space="preserve">Roman shell crown combo
</t>
  </si>
  <si>
    <r>
      <rPr>
        <b/>
        <sz val="10"/>
        <color rgb="FFFF0000"/>
        <rFont val="Arial"/>
        <family val="2"/>
      </rPr>
      <t xml:space="preserve">"Large" </t>
    </r>
    <r>
      <rPr>
        <b/>
        <sz val="10"/>
        <rFont val="Arial"/>
        <family val="2"/>
      </rPr>
      <t xml:space="preserve">Rose passion </t>
    </r>
    <r>
      <rPr>
        <b/>
        <sz val="10"/>
        <color rgb="FF000000"/>
        <rFont val="Arial"/>
        <family val="2"/>
      </rPr>
      <t>crown 5 piece combo</t>
    </r>
  </si>
  <si>
    <t>Swag type</t>
  </si>
  <si>
    <t>Rose passion crown combo</t>
  </si>
  <si>
    <r>
      <rPr>
        <b/>
        <sz val="10"/>
        <color rgb="FFFF0000"/>
        <rFont val="Arial"/>
        <family val="2"/>
      </rPr>
      <t>"Medium"</t>
    </r>
    <r>
      <rPr>
        <b/>
        <sz val="10"/>
        <color rgb="FF000000"/>
        <rFont val="Arial"/>
        <family val="2"/>
      </rPr>
      <t xml:space="preserve"> Gothic crown 5 piece combo</t>
    </r>
  </si>
  <si>
    <t>Swag Cut out measurments</t>
  </si>
  <si>
    <t>Gothic crown Combo</t>
  </si>
  <si>
    <t>Master</t>
  </si>
  <si>
    <t>dble</t>
  </si>
  <si>
    <t>dg</t>
  </si>
  <si>
    <t xml:space="preserve">Room Name
</t>
  </si>
  <si>
    <t xml:space="preserve">Window location
</t>
  </si>
  <si>
    <t xml:space="preserve">"A" Horizonatal size of the window 
</t>
  </si>
  <si>
    <t xml:space="preserve">"F"
Swag Cut out measurment
</t>
  </si>
  <si>
    <t xml:space="preserve">"G"
Scroll angle measurment
</t>
  </si>
  <si>
    <t xml:space="preserve">Combo Type:
</t>
  </si>
  <si>
    <t xml:space="preserve">Swag Type
</t>
  </si>
  <si>
    <t>Apply lining?</t>
  </si>
  <si>
    <t>Combine fabrics</t>
  </si>
  <si>
    <t xml:space="preserve">Lining 
Pattern 
</t>
  </si>
  <si>
    <t xml:space="preserve">
Lining Color
</t>
  </si>
  <si>
    <t xml:space="preserve">
Combonation
 Size
50%-50%</t>
  </si>
  <si>
    <t>Trim Price Group
Refer to Trims  specs</t>
  </si>
  <si>
    <t xml:space="preserve">single swags top width </t>
  </si>
  <si>
    <t xml:space="preserve">Swags Dept </t>
  </si>
  <si>
    <t># Of Widths</t>
  </si>
  <si>
    <t xml:space="preserve"> SwagTail Length</t>
  </si>
  <si>
    <t xml:space="preserve"> Swags Cascade Length </t>
  </si>
  <si>
    <t>Combined Fabric position</t>
  </si>
  <si>
    <t>"Swags hem  size"</t>
  </si>
  <si>
    <t>"Swags Pocke size"</t>
  </si>
  <si>
    <t>"Swags take up"</t>
  </si>
  <si>
    <t>AG-WC</t>
  </si>
  <si>
    <t>AG- WOC</t>
  </si>
  <si>
    <t>AS</t>
  </si>
  <si>
    <t>ASWC</t>
  </si>
  <si>
    <t xml:space="preserve">RG </t>
  </si>
  <si>
    <t>RGWC</t>
  </si>
  <si>
    <t>PS</t>
  </si>
  <si>
    <t>PSWC</t>
  </si>
  <si>
    <t>Workroom Name:</t>
  </si>
  <si>
    <t xml:space="preserve">Order due date: </t>
  </si>
  <si>
    <t>Customer Name:</t>
  </si>
  <si>
    <t>Work order written date:</t>
  </si>
  <si>
    <t>Fab A Group = A&amp; Fab B Group = A</t>
  </si>
  <si>
    <t>Yards A</t>
  </si>
  <si>
    <t>Yards B</t>
  </si>
  <si>
    <t>Gree</t>
  </si>
  <si>
    <t>Left</t>
  </si>
  <si>
    <t>Right</t>
  </si>
  <si>
    <t>Pair</t>
  </si>
  <si>
    <t>livning</t>
  </si>
  <si>
    <t>fam</t>
  </si>
  <si>
    <t>living</t>
  </si>
  <si>
    <t xml:space="preserve">lease </t>
  </si>
  <si>
    <t>#Pattern A widths</t>
  </si>
  <si>
    <t># Pattern B
Widths</t>
  </si>
  <si>
    <t>Bedroom</t>
  </si>
  <si>
    <t>Hall</t>
  </si>
  <si>
    <t>A-100,B-100</t>
  </si>
  <si>
    <t>Otyher</t>
  </si>
  <si>
    <t>Center Swag</t>
  </si>
  <si>
    <r>
      <rPr>
        <b/>
        <sz val="10"/>
        <color rgb="FFFF0000"/>
        <rFont val="Arial"/>
        <family val="2"/>
      </rPr>
      <t xml:space="preserve"> "Small" </t>
    </r>
    <r>
      <rPr>
        <b/>
        <sz val="10"/>
        <color rgb="FF000000"/>
        <rFont val="Arial"/>
        <family val="2"/>
      </rPr>
      <t>roman leaf crown 5 piece combo</t>
    </r>
  </si>
  <si>
    <r>
      <rPr>
        <b/>
        <sz val="10"/>
        <color rgb="FFFF0000"/>
        <rFont val="Arial"/>
        <family val="2"/>
      </rPr>
      <t>"Medium"</t>
    </r>
    <r>
      <rPr>
        <b/>
        <sz val="10"/>
        <color rgb="FF000000"/>
        <rFont val="Arial"/>
        <family val="2"/>
      </rPr>
      <t xml:space="preserve"> French shell crown 5 piece combo</t>
    </r>
  </si>
  <si>
    <r>
      <rPr>
        <b/>
        <sz val="10"/>
        <color rgb="FFFF0000"/>
        <rFont val="Arial"/>
        <family val="2"/>
      </rPr>
      <t>"Large"</t>
    </r>
    <r>
      <rPr>
        <b/>
        <sz val="10"/>
        <color rgb="FF000000"/>
        <rFont val="Arial"/>
        <family val="2"/>
      </rPr>
      <t xml:space="preserve"> Nova Crown 5 piece combo</t>
    </r>
  </si>
  <si>
    <t xml:space="preserve">Center Swag Cascade Length
(left) </t>
  </si>
  <si>
    <t>Center swagTail Length
(left )</t>
  </si>
  <si>
    <t xml:space="preserve">Center Swag Cascade Length
(right) </t>
  </si>
  <si>
    <t>Center swagTail Length
(right)</t>
  </si>
  <si>
    <t>Fullnees Muliplier</t>
  </si>
  <si>
    <t>Fullness Multipler</t>
  </si>
  <si>
    <t>Center swag</t>
  </si>
  <si>
    <r>
      <rPr>
        <b/>
        <sz val="10"/>
        <color rgb="FFFF0000"/>
        <rFont val="Arial"/>
        <family val="2"/>
      </rPr>
      <t xml:space="preserve">"Small" </t>
    </r>
    <r>
      <rPr>
        <b/>
        <sz val="10"/>
        <color rgb="FF000000"/>
        <rFont val="Arial"/>
        <family val="2"/>
      </rPr>
      <t>Victorian crown 5 piece combo</t>
    </r>
  </si>
  <si>
    <t>"C Minium" 
Space from floor to the top of the window molding</t>
  </si>
  <si>
    <t>"C Maximum 
Space from floor to the top of the window molding</t>
  </si>
  <si>
    <r>
      <rPr>
        <b/>
        <sz val="10"/>
        <color rgb="FFFF0000"/>
        <rFont val="Arial"/>
        <family val="2"/>
      </rPr>
      <t xml:space="preserve">"Large" </t>
    </r>
    <r>
      <rPr>
        <b/>
        <sz val="10"/>
        <color rgb="FF000000"/>
        <rFont val="Arial"/>
        <family val="2"/>
      </rPr>
      <t>Rose passion crown 5 piece combo</t>
    </r>
  </si>
  <si>
    <t>Din</t>
  </si>
  <si>
    <t>ABC</t>
  </si>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</sst>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name val="Arial"/>
      <family val="2"/>
    </font>
    <font>
      <sz val="8"/>
      <color rgb="FF000000"/>
      <name val="Arial"/>
      <family val="2"/>
    </font>
    <font>
      <sz val="8"/>
      <color rgb="FF006100"/>
      <name val="Calibri"/>
      <family val="2"/>
      <scheme val="minor"/>
    </font>
    <font>
      <b/>
      <sz val="8"/>
      <color rgb="FFFA7D00"/>
      <name val="Calibri"/>
      <family val="2"/>
      <scheme val="minor"/>
    </font>
    <font>
      <b/>
      <sz val="8"/>
      <color theme="8"/>
      <name val="Calibri (Body)"/>
    </font>
    <font>
      <sz val="8"/>
      <color theme="8"/>
      <name val="Arial"/>
      <family val="2"/>
    </font>
    <font>
      <b/>
      <sz val="10"/>
      <color rgb="FF000000"/>
      <name val="Arial"/>
      <family val="2"/>
    </font>
    <font>
      <b/>
      <sz val="10"/>
      <color rgb="FFFF0000"/>
      <name val="Arial"/>
      <family val="2"/>
    </font>
    <font>
      <sz val="11"/>
      <color rgb="FF000000"/>
      <name val="Arial"/>
      <family val="2"/>
    </font>
    <font>
      <b/>
      <sz val="10"/>
      <name val="Arial"/>
      <family val="2"/>
    </font>
    <font>
      <sz val="12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Arial"/>
      <family val="2"/>
    </font>
    <font>
      <sz val="8"/>
      <color theme="1"/>
      <name val="Arial"/>
      <family val="2"/>
    </font>
    <font>
      <sz val="11"/>
      <color rgb="FF000000"/>
      <name val="Calibri"/>
      <family val="2"/>
    </font>
    <font>
      <sz val="8"/>
      <color rgb="FF9C0006"/>
      <name val="Arial"/>
      <family val="2"/>
    </font>
    <font>
      <sz val="8"/>
      <color rgb="FF9C0006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rgb="FF7F7F7F"/>
      </right>
      <top style="medium">
        <color auto="1"/>
      </top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rgb="FF7F7F7F"/>
      </right>
      <top style="medium">
        <color auto="1"/>
      </top>
      <bottom/>
      <diagonal/>
    </border>
    <border>
      <left style="thin">
        <color rgb="FF7F7F7F"/>
      </left>
      <right style="thin">
        <color rgb="FF7F7F7F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14" fillId="12" borderId="0" applyNumberFormat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</cellStyleXfs>
  <cellXfs count="170">
    <xf numFmtId="0" fontId="0" fillId="0" borderId="0" xfId="0"/>
    <xf numFmtId="0" fontId="0" fillId="0" borderId="0" xfId="0" applyAlignment="1">
      <alignment horizontal="center" vertical="center" wrapText="1"/>
    </xf>
    <xf numFmtId="0" fontId="5" fillId="6" borderId="10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wrapText="1"/>
    </xf>
    <xf numFmtId="0" fontId="0" fillId="0" borderId="17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0" fillId="7" borderId="11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8" borderId="4" xfId="0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9" borderId="4" xfId="0" applyFont="1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10" borderId="4" xfId="0" applyFont="1" applyFill="1" applyBorder="1" applyAlignment="1">
      <alignment horizontal="center" vertical="center"/>
    </xf>
    <xf numFmtId="0" fontId="0" fillId="11" borderId="4" xfId="0" applyFont="1" applyFill="1" applyBorder="1" applyAlignment="1">
      <alignment horizontal="center" vertical="center"/>
    </xf>
    <xf numFmtId="0" fontId="0" fillId="9" borderId="8" xfId="0" applyFont="1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 wrapText="1"/>
    </xf>
    <xf numFmtId="0" fontId="0" fillId="10" borderId="8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 wrapText="1"/>
    </xf>
    <xf numFmtId="0" fontId="0" fillId="8" borderId="0" xfId="0" applyFill="1" applyBorder="1" applyAlignment="1">
      <alignment horizontal="center" vertical="center" wrapText="1"/>
    </xf>
    <xf numFmtId="0" fontId="0" fillId="0" borderId="1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6" borderId="9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" fillId="6" borderId="5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 wrapText="1"/>
    </xf>
    <xf numFmtId="0" fontId="0" fillId="0" borderId="0" xfId="0" applyAlignment="1">
      <alignment textRotation="180"/>
    </xf>
    <xf numFmtId="0" fontId="4" fillId="4" borderId="2" xfId="0" applyFont="1" applyFill="1" applyBorder="1" applyAlignment="1">
      <alignment horizontal="center" vertical="top" textRotation="180"/>
    </xf>
    <xf numFmtId="0" fontId="4" fillId="5" borderId="2" xfId="0" applyFont="1" applyFill="1" applyBorder="1" applyAlignment="1">
      <alignment horizontal="center" vertical="top" textRotation="180"/>
    </xf>
    <xf numFmtId="0" fontId="4" fillId="4" borderId="13" xfId="0" applyFont="1" applyFill="1" applyBorder="1" applyAlignment="1">
      <alignment horizontal="center" vertical="top" textRotation="180"/>
    </xf>
    <xf numFmtId="0" fontId="5" fillId="4" borderId="13" xfId="0" applyFont="1" applyFill="1" applyBorder="1" applyAlignment="1">
      <alignment horizontal="center" vertical="top" textRotation="180"/>
    </xf>
    <xf numFmtId="0" fontId="0" fillId="0" borderId="0" xfId="0" applyAlignment="1">
      <alignment horizontal="center" vertical="top"/>
    </xf>
    <xf numFmtId="0" fontId="5" fillId="6" borderId="11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8" fillId="6" borderId="4" xfId="0" applyFont="1" applyFill="1" applyBorder="1" applyAlignment="1">
      <alignment horizontal="center" vertical="center" wrapText="1"/>
    </xf>
    <xf numFmtId="0" fontId="17" fillId="6" borderId="4" xfId="0" applyFont="1" applyFill="1" applyBorder="1" applyAlignment="1">
      <alignment horizontal="center" vertical="center" wrapText="1"/>
    </xf>
    <xf numFmtId="43" fontId="18" fillId="6" borderId="4" xfId="1" applyFont="1" applyFill="1" applyBorder="1" applyAlignment="1">
      <alignment horizontal="center" vertical="center" wrapText="1"/>
    </xf>
    <xf numFmtId="0" fontId="17" fillId="6" borderId="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top" textRotation="180" wrapText="1"/>
    </xf>
    <xf numFmtId="0" fontId="14" fillId="12" borderId="0" xfId="4" applyAlignment="1">
      <alignment textRotation="180"/>
    </xf>
    <xf numFmtId="0" fontId="7" fillId="3" borderId="14" xfId="3" applyFont="1" applyBorder="1" applyAlignment="1">
      <alignment horizontal="center" vertical="top" textRotation="180" wrapText="1"/>
    </xf>
    <xf numFmtId="0" fontId="7" fillId="3" borderId="15" xfId="3" applyFont="1" applyBorder="1" applyAlignment="1">
      <alignment horizontal="center" vertical="top" textRotation="180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top" textRotation="180"/>
    </xf>
    <xf numFmtId="0" fontId="0" fillId="8" borderId="4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 wrapText="1"/>
    </xf>
    <xf numFmtId="12" fontId="0" fillId="0" borderId="0" xfId="0" applyNumberFormat="1"/>
    <xf numFmtId="0" fontId="7" fillId="3" borderId="2" xfId="3" applyFont="1" applyBorder="1" applyAlignment="1">
      <alignment horizontal="center" vertical="top" textRotation="180" wrapText="1"/>
    </xf>
    <xf numFmtId="0" fontId="6" fillId="2" borderId="2" xfId="2" applyFont="1" applyBorder="1" applyAlignment="1">
      <alignment horizontal="center" vertical="top" textRotation="180" wrapText="1"/>
    </xf>
    <xf numFmtId="0" fontId="5" fillId="6" borderId="4" xfId="0" applyNumberFormat="1" applyFont="1" applyFill="1" applyBorder="1" applyAlignment="1">
      <alignment horizontal="center" vertical="center"/>
    </xf>
    <xf numFmtId="0" fontId="14" fillId="12" borderId="13" xfId="4" applyBorder="1" applyAlignment="1">
      <alignment horizontal="center" vertical="top" textRotation="180"/>
    </xf>
    <xf numFmtId="43" fontId="5" fillId="6" borderId="4" xfId="1" applyFont="1" applyFill="1" applyBorder="1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4" fillId="4" borderId="3" xfId="0" applyFont="1" applyFill="1" applyBorder="1" applyAlignment="1">
      <alignment horizontal="center" vertical="top" textRotation="180"/>
    </xf>
    <xf numFmtId="0" fontId="6" fillId="2" borderId="2" xfId="2" applyFont="1" applyBorder="1" applyAlignment="1">
      <alignment horizontal="center" vertical="top" textRotation="180"/>
    </xf>
    <xf numFmtId="0" fontId="6" fillId="2" borderId="16" xfId="2" applyFont="1" applyBorder="1" applyAlignment="1">
      <alignment horizontal="center" vertical="top" textRotation="180" wrapText="1"/>
    </xf>
    <xf numFmtId="0" fontId="5" fillId="4" borderId="2" xfId="0" applyFont="1" applyFill="1" applyBorder="1" applyAlignment="1">
      <alignment horizontal="center" vertical="top" textRotation="180"/>
    </xf>
    <xf numFmtId="0" fontId="4" fillId="4" borderId="28" xfId="0" applyFont="1" applyFill="1" applyBorder="1" applyAlignment="1">
      <alignment horizontal="center" vertical="top" textRotation="180"/>
    </xf>
    <xf numFmtId="0" fontId="19" fillId="6" borderId="4" xfId="0" applyFont="1" applyFill="1" applyBorder="1" applyAlignment="1">
      <alignment horizontal="center" vertical="center"/>
    </xf>
    <xf numFmtId="0" fontId="19" fillId="6" borderId="5" xfId="0" applyFont="1" applyFill="1" applyBorder="1" applyAlignment="1">
      <alignment horizontal="center" vertical="center" wrapText="1"/>
    </xf>
    <xf numFmtId="0" fontId="19" fillId="6" borderId="4" xfId="0" applyFont="1" applyFill="1" applyBorder="1" applyAlignment="1">
      <alignment horizontal="center" vertical="center" wrapText="1"/>
    </xf>
    <xf numFmtId="0" fontId="19" fillId="6" borderId="6" xfId="0" applyFont="1" applyFill="1" applyBorder="1" applyAlignment="1">
      <alignment horizontal="center" vertical="center" wrapText="1"/>
    </xf>
    <xf numFmtId="0" fontId="4" fillId="4" borderId="29" xfId="0" applyFont="1" applyFill="1" applyBorder="1" applyAlignment="1">
      <alignment horizontal="center" vertical="top" textRotation="180"/>
    </xf>
    <xf numFmtId="0" fontId="4" fillId="4" borderId="30" xfId="0" applyFont="1" applyFill="1" applyBorder="1" applyAlignment="1">
      <alignment horizontal="center" vertical="top" textRotation="180"/>
    </xf>
    <xf numFmtId="0" fontId="5" fillId="4" borderId="30" xfId="0" applyFont="1" applyFill="1" applyBorder="1" applyAlignment="1">
      <alignment horizontal="center" vertical="top" textRotation="180"/>
    </xf>
    <xf numFmtId="0" fontId="4" fillId="4" borderId="30" xfId="0" applyFont="1" applyFill="1" applyBorder="1" applyAlignment="1">
      <alignment horizontal="center" vertical="top" textRotation="180" wrapText="1"/>
    </xf>
    <xf numFmtId="0" fontId="6" fillId="2" borderId="30" xfId="2" applyFont="1" applyBorder="1" applyAlignment="1">
      <alignment horizontal="center" vertical="top" textRotation="180"/>
    </xf>
    <xf numFmtId="0" fontId="4" fillId="4" borderId="22" xfId="0" applyFont="1" applyFill="1" applyBorder="1" applyAlignment="1">
      <alignment horizontal="center" vertical="top" textRotation="180"/>
    </xf>
    <xf numFmtId="0" fontId="4" fillId="5" borderId="30" xfId="0" applyFont="1" applyFill="1" applyBorder="1" applyAlignment="1">
      <alignment horizontal="center" vertical="top" textRotation="180"/>
    </xf>
    <xf numFmtId="0" fontId="7" fillId="3" borderId="31" xfId="3" applyFont="1" applyBorder="1" applyAlignment="1">
      <alignment horizontal="center" vertical="top" textRotation="180" wrapText="1"/>
    </xf>
    <xf numFmtId="0" fontId="7" fillId="3" borderId="32" xfId="3" applyFont="1" applyBorder="1" applyAlignment="1">
      <alignment horizontal="center" vertical="top" textRotation="180" wrapText="1"/>
    </xf>
    <xf numFmtId="0" fontId="7" fillId="3" borderId="30" xfId="3" applyFont="1" applyBorder="1" applyAlignment="1">
      <alignment horizontal="center" vertical="top" textRotation="180" wrapText="1"/>
    </xf>
    <xf numFmtId="0" fontId="14" fillId="12" borderId="23" xfId="4" applyBorder="1" applyAlignment="1">
      <alignment horizontal="center" vertical="top" textRotation="180"/>
    </xf>
    <xf numFmtId="0" fontId="4" fillId="4" borderId="23" xfId="0" applyFont="1" applyFill="1" applyBorder="1" applyAlignment="1">
      <alignment horizontal="center" vertical="top" textRotation="180"/>
    </xf>
    <xf numFmtId="0" fontId="5" fillId="4" borderId="23" xfId="0" applyFont="1" applyFill="1" applyBorder="1" applyAlignment="1">
      <alignment horizontal="center" vertical="top" textRotation="180"/>
    </xf>
    <xf numFmtId="0" fontId="6" fillId="2" borderId="30" xfId="2" applyFont="1" applyBorder="1" applyAlignment="1">
      <alignment horizontal="center" vertical="top" textRotation="180" wrapText="1"/>
    </xf>
    <xf numFmtId="0" fontId="6" fillId="2" borderId="33" xfId="2" applyFont="1" applyBorder="1" applyAlignment="1">
      <alignment horizontal="center" vertical="top" textRotation="180" wrapText="1"/>
    </xf>
    <xf numFmtId="0" fontId="0" fillId="0" borderId="17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 wrapText="1"/>
    </xf>
    <xf numFmtId="0" fontId="21" fillId="12" borderId="4" xfId="4" applyFont="1" applyBorder="1" applyAlignment="1">
      <alignment horizontal="center" vertical="center" wrapText="1"/>
    </xf>
    <xf numFmtId="0" fontId="22" fillId="12" borderId="24" xfId="4" applyFont="1" applyBorder="1" applyAlignment="1">
      <alignment horizontal="center" vertical="center" wrapText="1"/>
    </xf>
    <xf numFmtId="0" fontId="22" fillId="12" borderId="25" xfId="4" applyFont="1" applyBorder="1" applyAlignment="1">
      <alignment horizontal="center" vertical="center" wrapText="1"/>
    </xf>
    <xf numFmtId="0" fontId="21" fillId="12" borderId="25" xfId="4" applyFont="1" applyBorder="1" applyAlignment="1">
      <alignment horizontal="center" vertical="center" wrapText="1"/>
    </xf>
    <xf numFmtId="0" fontId="19" fillId="0" borderId="6" xfId="0" applyFont="1" applyBorder="1" applyAlignment="1">
      <alignment wrapText="1"/>
    </xf>
    <xf numFmtId="0" fontId="19" fillId="0" borderId="4" xfId="0" applyFont="1" applyBorder="1" applyAlignment="1">
      <alignment horizontal="center" vertical="center" textRotation="180" wrapText="1"/>
    </xf>
    <xf numFmtId="0" fontId="21" fillId="12" borderId="4" xfId="4" applyFont="1" applyBorder="1" applyAlignment="1">
      <alignment horizontal="center" vertical="center" textRotation="180" wrapText="1"/>
    </xf>
    <xf numFmtId="0" fontId="19" fillId="0" borderId="6" xfId="0" applyFont="1" applyBorder="1" applyAlignment="1">
      <alignment horizontal="center" vertical="center" wrapText="1"/>
    </xf>
    <xf numFmtId="0" fontId="19" fillId="0" borderId="35" xfId="0" applyFont="1" applyBorder="1" applyAlignment="1">
      <alignment horizontal="center" vertical="center" wrapText="1"/>
    </xf>
    <xf numFmtId="0" fontId="19" fillId="0" borderId="17" xfId="0" applyFont="1" applyBorder="1" applyAlignment="1">
      <alignment horizontal="center" vertical="center" wrapText="1"/>
    </xf>
    <xf numFmtId="0" fontId="21" fillId="12" borderId="17" xfId="4" applyFont="1" applyBorder="1" applyAlignment="1">
      <alignment horizontal="center" vertical="center" wrapText="1"/>
    </xf>
    <xf numFmtId="0" fontId="19" fillId="0" borderId="34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9" borderId="17" xfId="0" applyFill="1" applyBorder="1" applyAlignment="1">
      <alignment horizontal="center" vertical="center" wrapText="1"/>
    </xf>
    <xf numFmtId="0" fontId="0" fillId="13" borderId="4" xfId="0" applyFont="1" applyFill="1" applyBorder="1" applyAlignment="1">
      <alignment horizontal="center" vertical="center"/>
    </xf>
    <xf numFmtId="0" fontId="0" fillId="13" borderId="8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17" xfId="0" applyBorder="1" applyAlignment="1">
      <alignment horizontal="center" textRotation="180"/>
    </xf>
    <xf numFmtId="0" fontId="0" fillId="0" borderId="26" xfId="0" applyBorder="1" applyAlignment="1">
      <alignment horizontal="center" textRotation="180"/>
    </xf>
    <xf numFmtId="0" fontId="0" fillId="0" borderId="0" xfId="0" applyBorder="1" applyAlignment="1">
      <alignment horizontal="center" textRotation="180"/>
    </xf>
    <xf numFmtId="0" fontId="0" fillId="0" borderId="27" xfId="0" applyBorder="1" applyAlignment="1">
      <alignment horizontal="center" textRotation="180"/>
    </xf>
    <xf numFmtId="0" fontId="0" fillId="0" borderId="17" xfId="0" applyBorder="1" applyAlignment="1">
      <alignment horizontal="center" vertical="top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horizontal="center" textRotation="180"/>
    </xf>
    <xf numFmtId="0" fontId="0" fillId="0" borderId="22" xfId="0" applyBorder="1" applyAlignment="1">
      <alignment horizontal="center" textRotation="180"/>
    </xf>
    <xf numFmtId="0" fontId="0" fillId="0" borderId="20" xfId="0" applyBorder="1" applyAlignment="1">
      <alignment horizontal="center" textRotation="180"/>
    </xf>
    <xf numFmtId="0" fontId="0" fillId="0" borderId="23" xfId="0" applyBorder="1" applyAlignment="1">
      <alignment horizontal="center" textRotation="180"/>
    </xf>
    <xf numFmtId="0" fontId="0" fillId="0" borderId="4" xfId="0" applyBorder="1" applyAlignment="1">
      <alignment horizontal="center" vertical="top" wrapText="1"/>
    </xf>
    <xf numFmtId="0" fontId="10" fillId="7" borderId="19" xfId="0" applyFont="1" applyFill="1" applyBorder="1" applyAlignment="1">
      <alignment horizontal="center" vertical="center" wrapText="1"/>
    </xf>
    <xf numFmtId="0" fontId="10" fillId="7" borderId="20" xfId="0" applyFont="1" applyFill="1" applyBorder="1" applyAlignment="1">
      <alignment horizontal="center" vertical="center" wrapText="1"/>
    </xf>
    <xf numFmtId="0" fontId="10" fillId="7" borderId="21" xfId="0" applyFont="1" applyFill="1" applyBorder="1" applyAlignment="1">
      <alignment horizontal="center" vertical="center" wrapText="1"/>
    </xf>
    <xf numFmtId="0" fontId="10" fillId="7" borderId="9" xfId="0" applyFont="1" applyFill="1" applyBorder="1" applyAlignment="1">
      <alignment horizontal="center" vertical="center" wrapText="1"/>
    </xf>
    <xf numFmtId="0" fontId="10" fillId="7" borderId="10" xfId="0" applyFont="1" applyFill="1" applyBorder="1" applyAlignment="1">
      <alignment horizontal="center" vertical="center" wrapText="1"/>
    </xf>
    <xf numFmtId="0" fontId="10" fillId="7" borderId="11" xfId="0" applyFont="1" applyFill="1" applyBorder="1" applyAlignment="1">
      <alignment horizontal="center" vertical="center" wrapText="1"/>
    </xf>
    <xf numFmtId="0" fontId="10" fillId="7" borderId="9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  <xf numFmtId="0" fontId="10" fillId="7" borderId="36" xfId="0" applyFont="1" applyFill="1" applyBorder="1" applyAlignment="1">
      <alignment horizontal="center" vertical="center" wrapText="1"/>
    </xf>
    <xf numFmtId="0" fontId="10" fillId="7" borderId="37" xfId="0" applyFont="1" applyFill="1" applyBorder="1" applyAlignment="1">
      <alignment horizontal="center" vertical="center" wrapText="1"/>
    </xf>
    <xf numFmtId="0" fontId="10" fillId="7" borderId="38" xfId="0" applyFont="1" applyFill="1" applyBorder="1" applyAlignment="1">
      <alignment horizontal="center" vertical="center" wrapText="1"/>
    </xf>
    <xf numFmtId="0" fontId="10" fillId="7" borderId="36" xfId="0" applyFont="1" applyFill="1" applyBorder="1" applyAlignment="1">
      <alignment horizontal="center" vertical="center"/>
    </xf>
    <xf numFmtId="0" fontId="10" fillId="7" borderId="37" xfId="0" applyFont="1" applyFill="1" applyBorder="1" applyAlignment="1">
      <alignment horizontal="center" vertical="center"/>
    </xf>
    <xf numFmtId="0" fontId="10" fillId="7" borderId="38" xfId="0" applyFont="1" applyFill="1" applyBorder="1" applyAlignment="1">
      <alignment horizontal="center" vertical="center"/>
    </xf>
    <xf numFmtId="0" fontId="0" fillId="10" borderId="17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9" borderId="17" xfId="0" applyFont="1" applyFill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0" fillId="0" borderId="39" xfId="0" applyFont="1" applyFill="1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0" fillId="0" borderId="40" xfId="0" applyFont="1" applyBorder="1" applyAlignment="1">
      <alignment horizontal="center" vertical="center"/>
    </xf>
    <xf numFmtId="0" fontId="0" fillId="9" borderId="40" xfId="0" applyFont="1" applyFill="1" applyBorder="1" applyAlignment="1">
      <alignment horizontal="center" vertical="center"/>
    </xf>
    <xf numFmtId="0" fontId="12" fillId="0" borderId="40" xfId="0" applyFont="1" applyBorder="1" applyAlignment="1">
      <alignment horizontal="center" vertical="center"/>
    </xf>
    <xf numFmtId="0" fontId="0" fillId="0" borderId="40" xfId="0" applyFont="1" applyFill="1" applyBorder="1" applyAlignment="1">
      <alignment horizontal="center" vertical="center"/>
    </xf>
    <xf numFmtId="0" fontId="0" fillId="0" borderId="41" xfId="0" applyBorder="1" applyAlignment="1">
      <alignment horizontal="center" vertical="center" wrapText="1"/>
    </xf>
    <xf numFmtId="0" fontId="10" fillId="7" borderId="19" xfId="0" applyFont="1" applyFill="1" applyBorder="1" applyAlignment="1">
      <alignment horizontal="center" vertical="center"/>
    </xf>
    <xf numFmtId="0" fontId="10" fillId="7" borderId="20" xfId="0" applyFont="1" applyFill="1" applyBorder="1" applyAlignment="1">
      <alignment horizontal="center" vertical="center"/>
    </xf>
    <xf numFmtId="0" fontId="10" fillId="7" borderId="21" xfId="0" applyFont="1" applyFill="1" applyBorder="1" applyAlignment="1">
      <alignment horizontal="center" vertical="center"/>
    </xf>
  </cellXfs>
  <cellStyles count="7">
    <cellStyle name="Bad" xfId="4" builtinId="27"/>
    <cellStyle name="Calculation" xfId="3" builtinId="22"/>
    <cellStyle name="Comma" xfId="1" builtinId="3"/>
    <cellStyle name="Followed Hyperlink" xfId="6" builtinId="9" hidden="1"/>
    <cellStyle name="Good" xfId="2" builtinId="26"/>
    <cellStyle name="Hyperlink" xfId="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523875</xdr:colOff>
          <xdr:row>0</xdr:row>
          <xdr:rowOff>66675</xdr:rowOff>
        </xdr:from>
        <xdr:to>
          <xdr:col>10</xdr:col>
          <xdr:colOff>76200</xdr:colOff>
          <xdr:row>1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0</xdr:row>
          <xdr:rowOff>28575</xdr:rowOff>
        </xdr:from>
        <xdr:to>
          <xdr:col>9</xdr:col>
          <xdr:colOff>381000</xdr:colOff>
          <xdr:row>1</xdr:row>
          <xdr:rowOff>161925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104775</xdr:rowOff>
        </xdr:from>
        <xdr:to>
          <xdr:col>11</xdr:col>
          <xdr:colOff>190500</xdr:colOff>
          <xdr:row>1</xdr:row>
          <xdr:rowOff>219075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Order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S88"/>
  <sheetViews>
    <sheetView zoomScaleNormal="100" zoomScalePageLayoutView="82" workbookViewId="0">
      <pane ySplit="3" topLeftCell="A25" activePane="bottomLeft" state="frozen"/>
      <selection activeCell="I1" sqref="I1"/>
      <selection pane="bottomLeft" activeCell="A25" sqref="A25:XFD25"/>
    </sheetView>
  </sheetViews>
  <sheetFormatPr defaultColWidth="8.85546875" defaultRowHeight="15"/>
  <sheetData>
    <row r="1" spans="1:45">
      <c r="A1" s="134" t="s">
        <v>156</v>
      </c>
      <c r="B1" s="134"/>
      <c r="C1" s="134"/>
      <c r="D1" s="134"/>
      <c r="E1" s="135"/>
      <c r="F1" s="135"/>
      <c r="G1" s="135"/>
      <c r="H1" s="136"/>
      <c r="I1" s="137"/>
      <c r="J1" s="137"/>
      <c r="K1" s="137"/>
      <c r="L1" s="138"/>
      <c r="M1" s="134" t="s">
        <v>154</v>
      </c>
      <c r="N1" s="134"/>
      <c r="O1" s="134"/>
      <c r="P1" s="134"/>
      <c r="Q1" s="139"/>
      <c r="R1" s="139"/>
      <c r="S1" s="139"/>
      <c r="T1" s="139"/>
      <c r="U1" s="139"/>
      <c r="V1" s="53"/>
      <c r="W1" s="53"/>
      <c r="X1" s="53"/>
      <c r="Y1" s="53"/>
      <c r="Z1" s="53"/>
      <c r="AA1" s="48"/>
      <c r="AI1" s="61"/>
      <c r="AJ1" s="44"/>
      <c r="AK1" s="44"/>
      <c r="AL1" s="44"/>
      <c r="AM1" s="44"/>
      <c r="AN1" s="64"/>
      <c r="AO1" s="64"/>
      <c r="AP1" s="48"/>
      <c r="AQ1" s="48"/>
    </row>
    <row r="2" spans="1:45" ht="27" customHeight="1" thickBot="1">
      <c r="A2" s="128" t="s">
        <v>157</v>
      </c>
      <c r="B2" s="128"/>
      <c r="C2" s="128"/>
      <c r="D2" s="128"/>
      <c r="E2" s="129"/>
      <c r="F2" s="129"/>
      <c r="G2" s="129"/>
      <c r="H2" s="130"/>
      <c r="I2" s="131"/>
      <c r="J2" s="131"/>
      <c r="K2" s="131"/>
      <c r="L2" s="132"/>
      <c r="M2" s="128" t="s">
        <v>155</v>
      </c>
      <c r="N2" s="128"/>
      <c r="O2" s="128"/>
      <c r="P2" s="128"/>
      <c r="Q2" s="133"/>
      <c r="R2" s="133"/>
      <c r="S2" s="133"/>
      <c r="T2" s="133"/>
      <c r="U2" s="133"/>
      <c r="V2" s="53"/>
      <c r="W2" s="53"/>
      <c r="X2" s="53"/>
      <c r="Y2" s="53"/>
      <c r="Z2" s="53"/>
      <c r="AA2" s="48"/>
      <c r="AI2" s="61"/>
      <c r="AJ2" s="44"/>
      <c r="AK2" s="44"/>
      <c r="AL2" s="44"/>
      <c r="AM2" s="44"/>
      <c r="AN2" s="74"/>
      <c r="AO2" s="74"/>
      <c r="AP2" s="48"/>
      <c r="AQ2" s="48"/>
    </row>
    <row r="3" spans="1:45" ht="131.25" customHeight="1">
      <c r="A3" s="84" t="s">
        <v>124</v>
      </c>
      <c r="B3" s="85" t="s">
        <v>125</v>
      </c>
      <c r="C3" s="86" t="s">
        <v>130</v>
      </c>
      <c r="D3" s="87" t="s">
        <v>132</v>
      </c>
      <c r="E3" s="86" t="s">
        <v>142</v>
      </c>
      <c r="F3" s="88" t="s">
        <v>135</v>
      </c>
      <c r="G3" s="86" t="s">
        <v>5</v>
      </c>
      <c r="H3" s="85" t="s">
        <v>6</v>
      </c>
      <c r="I3" s="85" t="s">
        <v>7</v>
      </c>
      <c r="J3" s="85" t="s">
        <v>8</v>
      </c>
      <c r="K3" s="85" t="s">
        <v>133</v>
      </c>
      <c r="L3" s="87" t="s">
        <v>134</v>
      </c>
      <c r="M3" s="89" t="s">
        <v>9</v>
      </c>
      <c r="N3" s="84" t="s">
        <v>10</v>
      </c>
      <c r="O3" s="85" t="s">
        <v>11</v>
      </c>
      <c r="P3" s="88" t="s">
        <v>13</v>
      </c>
      <c r="Q3" s="90" t="s">
        <v>126</v>
      </c>
      <c r="R3" s="85" t="s">
        <v>127</v>
      </c>
      <c r="S3" s="88" t="s">
        <v>14</v>
      </c>
      <c r="T3" s="88" t="s">
        <v>15</v>
      </c>
      <c r="U3" s="88" t="s">
        <v>16</v>
      </c>
      <c r="V3" s="91" t="s">
        <v>137</v>
      </c>
      <c r="W3" s="92" t="s">
        <v>138</v>
      </c>
      <c r="X3" s="92" t="s">
        <v>139</v>
      </c>
      <c r="Y3" s="92" t="s">
        <v>141</v>
      </c>
      <c r="Z3" s="92" t="s">
        <v>140</v>
      </c>
      <c r="AA3" s="85" t="s">
        <v>12</v>
      </c>
      <c r="AB3" s="93" t="s">
        <v>159</v>
      </c>
      <c r="AC3" s="93" t="s">
        <v>160</v>
      </c>
      <c r="AD3" s="93" t="s">
        <v>18</v>
      </c>
      <c r="AE3" s="93" t="s">
        <v>19</v>
      </c>
      <c r="AF3" s="93" t="s">
        <v>20</v>
      </c>
      <c r="AG3" s="93" t="s">
        <v>21</v>
      </c>
      <c r="AH3" s="93" t="s">
        <v>22</v>
      </c>
      <c r="AI3" s="94" t="s">
        <v>131</v>
      </c>
      <c r="AJ3" s="90" t="s">
        <v>0</v>
      </c>
      <c r="AK3" s="85" t="s">
        <v>1</v>
      </c>
      <c r="AL3" s="85" t="s">
        <v>2</v>
      </c>
      <c r="AM3" s="85" t="s">
        <v>3</v>
      </c>
      <c r="AN3" s="85" t="s">
        <v>128</v>
      </c>
      <c r="AO3" s="95" t="s">
        <v>129</v>
      </c>
      <c r="AP3" s="96" t="s">
        <v>96</v>
      </c>
      <c r="AQ3" s="96" t="s">
        <v>4</v>
      </c>
      <c r="AR3" s="97" t="s">
        <v>17</v>
      </c>
      <c r="AS3" s="98" t="s">
        <v>136</v>
      </c>
    </row>
    <row r="4" spans="1:45" ht="45">
      <c r="A4" s="12" t="s">
        <v>67</v>
      </c>
      <c r="B4" s="101" t="s">
        <v>23</v>
      </c>
      <c r="C4" s="101" t="s">
        <v>36</v>
      </c>
      <c r="D4" s="101" t="s">
        <v>24</v>
      </c>
      <c r="E4" s="101"/>
      <c r="F4" s="101"/>
      <c r="G4" s="101" t="s">
        <v>37</v>
      </c>
      <c r="H4" s="101" t="s">
        <v>38</v>
      </c>
      <c r="I4" s="101"/>
      <c r="J4" s="101"/>
      <c r="K4" s="101" t="s">
        <v>29</v>
      </c>
      <c r="L4" s="101"/>
      <c r="M4" s="101" t="s">
        <v>32</v>
      </c>
      <c r="N4" s="101"/>
      <c r="O4" s="101"/>
      <c r="P4" s="101" t="s">
        <v>162</v>
      </c>
      <c r="Q4" s="101">
        <v>96</v>
      </c>
      <c r="R4" s="101">
        <v>18</v>
      </c>
      <c r="S4" s="101">
        <v>0.2</v>
      </c>
      <c r="T4" s="101">
        <v>0.1</v>
      </c>
      <c r="U4" s="101">
        <v>0.1</v>
      </c>
      <c r="V4" s="101">
        <f t="shared" ref="V4:V24" si="0">(Q4-(R4*2))/2</f>
        <v>30</v>
      </c>
      <c r="W4" s="101">
        <v>30</v>
      </c>
      <c r="X4" s="101">
        <v>1</v>
      </c>
      <c r="Y4" s="101">
        <v>25</v>
      </c>
      <c r="Z4" s="101">
        <v>12</v>
      </c>
      <c r="AA4" s="101" t="s">
        <v>12</v>
      </c>
      <c r="AB4" s="101">
        <f>(((((Q4+AL4+AM4)/2)*1.5+((Y4+S4+U4+T4)*X4))/36)/2)*2</f>
        <v>3.1222222222222222</v>
      </c>
      <c r="AC4" s="101"/>
      <c r="AD4" s="101"/>
      <c r="AE4" s="101">
        <f t="shared" ref="AE4:AE24" si="1">ROUND(X4*17.5,2)</f>
        <v>17.5</v>
      </c>
      <c r="AF4" s="101">
        <f>3.12222222222222*25</f>
        <v>78.0555555555555</v>
      </c>
      <c r="AG4" s="101"/>
      <c r="AH4" s="101"/>
      <c r="AI4" s="101" t="s">
        <v>24</v>
      </c>
      <c r="AJ4" s="101">
        <v>12</v>
      </c>
      <c r="AK4" s="101">
        <v>180</v>
      </c>
      <c r="AL4" s="101">
        <v>10</v>
      </c>
      <c r="AM4" s="101">
        <v>10</v>
      </c>
      <c r="AN4" s="101">
        <v>8</v>
      </c>
      <c r="AO4" s="101" t="s">
        <v>59</v>
      </c>
      <c r="AP4" s="101"/>
      <c r="AQ4" s="101"/>
      <c r="AR4" s="101"/>
      <c r="AS4" s="19"/>
    </row>
    <row r="5" spans="1:45" ht="75">
      <c r="A5" s="12" t="s">
        <v>67</v>
      </c>
      <c r="B5" s="101" t="s">
        <v>23</v>
      </c>
      <c r="C5" s="101" t="s">
        <v>36</v>
      </c>
      <c r="D5" s="101" t="s">
        <v>24</v>
      </c>
      <c r="E5" s="101" t="s">
        <v>45</v>
      </c>
      <c r="F5" s="101" t="s">
        <v>55</v>
      </c>
      <c r="G5" s="101" t="s">
        <v>37</v>
      </c>
      <c r="H5" s="101" t="s">
        <v>38</v>
      </c>
      <c r="I5" s="101" t="s">
        <v>37</v>
      </c>
      <c r="J5" s="101" t="s">
        <v>38</v>
      </c>
      <c r="K5" s="101" t="s">
        <v>29</v>
      </c>
      <c r="L5" s="101"/>
      <c r="M5" s="101" t="s">
        <v>32</v>
      </c>
      <c r="N5" s="101"/>
      <c r="O5" s="101"/>
      <c r="P5" s="101" t="s">
        <v>162</v>
      </c>
      <c r="Q5" s="101">
        <v>96</v>
      </c>
      <c r="R5" s="101">
        <v>18</v>
      </c>
      <c r="S5" s="101">
        <v>0.2</v>
      </c>
      <c r="T5" s="101">
        <v>0.1</v>
      </c>
      <c r="U5" s="101">
        <v>0.1</v>
      </c>
      <c r="V5" s="101">
        <f t="shared" si="0"/>
        <v>30</v>
      </c>
      <c r="W5" s="101">
        <v>30</v>
      </c>
      <c r="X5" s="101">
        <v>1</v>
      </c>
      <c r="Y5" s="101">
        <v>25</v>
      </c>
      <c r="Z5" s="101">
        <v>12</v>
      </c>
      <c r="AA5" s="101" t="s">
        <v>12</v>
      </c>
      <c r="AB5" s="101">
        <f>ROUND(((((((Q5+AL5+AM5)/2)*1.5+((Y5+S5+U5+T5)*1))/36)/2)/2)*2,2)</f>
        <v>1.56</v>
      </c>
      <c r="AC5" s="101">
        <f>ROUND(((((((Q5+AL5+AM5)/2)*1.5+((Y5+S5+U5+T5)*0.5))/36)/2)/2)*2,2)</f>
        <v>1.38</v>
      </c>
      <c r="AD5" s="101"/>
      <c r="AE5" s="101">
        <f t="shared" si="1"/>
        <v>17.5</v>
      </c>
      <c r="AF5" s="101">
        <f>1.56*25</f>
        <v>39</v>
      </c>
      <c r="AG5" s="101">
        <f>1.38*25</f>
        <v>34.5</v>
      </c>
      <c r="AH5" s="101"/>
      <c r="AI5" s="101" t="s">
        <v>24</v>
      </c>
      <c r="AJ5" s="101">
        <v>12</v>
      </c>
      <c r="AK5" s="101">
        <v>180</v>
      </c>
      <c r="AL5" s="101">
        <v>10</v>
      </c>
      <c r="AM5" s="101">
        <v>10</v>
      </c>
      <c r="AN5" s="101">
        <v>8</v>
      </c>
      <c r="AO5" s="101" t="s">
        <v>59</v>
      </c>
      <c r="AP5" s="101"/>
      <c r="AQ5" s="101"/>
      <c r="AR5" s="101" t="s">
        <v>158</v>
      </c>
      <c r="AS5" s="19"/>
    </row>
    <row r="6" spans="1:45" ht="75">
      <c r="A6" s="12" t="s">
        <v>67</v>
      </c>
      <c r="B6" s="101" t="s">
        <v>23</v>
      </c>
      <c r="C6" s="101" t="s">
        <v>36</v>
      </c>
      <c r="D6" s="101" t="s">
        <v>24</v>
      </c>
      <c r="E6" s="101" t="s">
        <v>45</v>
      </c>
      <c r="F6" s="101" t="s">
        <v>51</v>
      </c>
      <c r="G6" s="101" t="s">
        <v>37</v>
      </c>
      <c r="H6" s="101" t="s">
        <v>38</v>
      </c>
      <c r="I6" s="101" t="s">
        <v>37</v>
      </c>
      <c r="J6" s="101" t="s">
        <v>38</v>
      </c>
      <c r="K6" s="101" t="s">
        <v>29</v>
      </c>
      <c r="L6" s="101"/>
      <c r="M6" s="101" t="s">
        <v>32</v>
      </c>
      <c r="N6" s="101"/>
      <c r="O6" s="101"/>
      <c r="P6" s="101" t="s">
        <v>162</v>
      </c>
      <c r="Q6" s="101">
        <v>96</v>
      </c>
      <c r="R6" s="101">
        <v>18</v>
      </c>
      <c r="S6" s="101">
        <v>0.2</v>
      </c>
      <c r="T6" s="101">
        <v>0.1</v>
      </c>
      <c r="U6" s="101">
        <v>0.1</v>
      </c>
      <c r="V6" s="101">
        <f t="shared" si="0"/>
        <v>30</v>
      </c>
      <c r="W6" s="101">
        <v>30</v>
      </c>
      <c r="X6" s="101">
        <v>1</v>
      </c>
      <c r="Y6" s="101">
        <v>25</v>
      </c>
      <c r="Z6" s="101">
        <v>12</v>
      </c>
      <c r="AA6" s="101" t="s">
        <v>12</v>
      </c>
      <c r="AB6" s="101">
        <f>ROUND(((((((Q6+AL6+AM6)/2)*1.5+((Y6+S6+U6+T6)*X6))/36)/2)/2)*2,2)</f>
        <v>1.56</v>
      </c>
      <c r="AC6" s="101">
        <f>ROUND(((((((Q6+AL6+AM6)/2)*1.5+((Y6+S6+U6+T6)*X6))/36)/2)/2)*2,2)</f>
        <v>1.56</v>
      </c>
      <c r="AD6" s="101"/>
      <c r="AE6" s="101">
        <f t="shared" si="1"/>
        <v>17.5</v>
      </c>
      <c r="AF6" s="101">
        <f>1.56*25</f>
        <v>39</v>
      </c>
      <c r="AG6" s="101">
        <f>1.56*25</f>
        <v>39</v>
      </c>
      <c r="AH6" s="101"/>
      <c r="AI6" s="101" t="s">
        <v>24</v>
      </c>
      <c r="AJ6" s="101">
        <v>12</v>
      </c>
      <c r="AK6" s="101">
        <v>180</v>
      </c>
      <c r="AL6" s="101">
        <v>10</v>
      </c>
      <c r="AM6" s="101">
        <v>10</v>
      </c>
      <c r="AN6" s="101">
        <v>8</v>
      </c>
      <c r="AO6" s="101" t="s">
        <v>59</v>
      </c>
      <c r="AP6" s="101"/>
      <c r="AQ6" s="101"/>
      <c r="AR6" s="101" t="s">
        <v>158</v>
      </c>
      <c r="AS6" s="19"/>
    </row>
    <row r="7" spans="1:45" ht="45">
      <c r="A7" s="12" t="s">
        <v>67</v>
      </c>
      <c r="B7" s="101" t="s">
        <v>23</v>
      </c>
      <c r="C7" s="101" t="s">
        <v>36</v>
      </c>
      <c r="D7" s="101" t="s">
        <v>24</v>
      </c>
      <c r="E7" s="101"/>
      <c r="F7" s="101"/>
      <c r="G7" s="101" t="s">
        <v>37</v>
      </c>
      <c r="H7" s="101" t="s">
        <v>38</v>
      </c>
      <c r="I7" s="101"/>
      <c r="J7" s="101"/>
      <c r="K7" s="101" t="s">
        <v>29</v>
      </c>
      <c r="L7" s="101"/>
      <c r="M7" s="101" t="s">
        <v>32</v>
      </c>
      <c r="N7" s="101"/>
      <c r="O7" s="101"/>
      <c r="P7" s="101" t="s">
        <v>162</v>
      </c>
      <c r="Q7" s="101">
        <v>96</v>
      </c>
      <c r="R7" s="101">
        <v>18</v>
      </c>
      <c r="S7" s="101">
        <v>0.2</v>
      </c>
      <c r="T7" s="101">
        <v>0.1</v>
      </c>
      <c r="U7" s="101">
        <v>0.1</v>
      </c>
      <c r="V7" s="101">
        <f t="shared" si="0"/>
        <v>30</v>
      </c>
      <c r="W7" s="101">
        <v>30</v>
      </c>
      <c r="X7" s="101">
        <v>1</v>
      </c>
      <c r="Y7" s="101">
        <v>25</v>
      </c>
      <c r="Z7" s="101">
        <v>12</v>
      </c>
      <c r="AA7" s="101" t="s">
        <v>12</v>
      </c>
      <c r="AB7" s="101">
        <f>(((((Q7+AL7+AM7)/2)*1.5+((Y7+S7+U7+T7)*X7))/36)/2)*2</f>
        <v>3.1222222222222222</v>
      </c>
      <c r="AC7" s="101"/>
      <c r="AD7" s="101"/>
      <c r="AE7" s="101">
        <f t="shared" si="1"/>
        <v>17.5</v>
      </c>
      <c r="AF7" s="101">
        <f>3.12222222222222*25</f>
        <v>78.0555555555555</v>
      </c>
      <c r="AG7" s="101"/>
      <c r="AH7" s="101"/>
      <c r="AI7" s="101" t="s">
        <v>24</v>
      </c>
      <c r="AJ7" s="101">
        <v>12</v>
      </c>
      <c r="AK7" s="101">
        <v>180</v>
      </c>
      <c r="AL7" s="101">
        <v>10</v>
      </c>
      <c r="AM7" s="101">
        <v>10</v>
      </c>
      <c r="AN7" s="101">
        <v>8</v>
      </c>
      <c r="AO7" s="101" t="s">
        <v>59</v>
      </c>
      <c r="AP7" s="101"/>
      <c r="AQ7" s="101"/>
      <c r="AR7" s="101"/>
      <c r="AS7" s="19"/>
    </row>
    <row r="8" spans="1:45" ht="45">
      <c r="A8" s="12" t="s">
        <v>67</v>
      </c>
      <c r="B8" s="101" t="s">
        <v>23</v>
      </c>
      <c r="C8" s="101" t="s">
        <v>36</v>
      </c>
      <c r="D8" s="101" t="s">
        <v>24</v>
      </c>
      <c r="E8" s="101"/>
      <c r="F8" s="101"/>
      <c r="G8" s="101" t="s">
        <v>37</v>
      </c>
      <c r="H8" s="101" t="s">
        <v>38</v>
      </c>
      <c r="I8" s="101"/>
      <c r="J8" s="101"/>
      <c r="K8" s="101" t="s">
        <v>29</v>
      </c>
      <c r="L8" s="101"/>
      <c r="M8" s="101" t="s">
        <v>24</v>
      </c>
      <c r="N8" s="101" t="s">
        <v>37</v>
      </c>
      <c r="O8" s="101" t="s">
        <v>38</v>
      </c>
      <c r="P8" s="101" t="s">
        <v>162</v>
      </c>
      <c r="Q8" s="101">
        <v>96</v>
      </c>
      <c r="R8" s="101">
        <v>18</v>
      </c>
      <c r="S8" s="101">
        <v>0.2</v>
      </c>
      <c r="T8" s="101">
        <v>0.1</v>
      </c>
      <c r="U8" s="101">
        <v>0.1</v>
      </c>
      <c r="V8" s="101">
        <f t="shared" si="0"/>
        <v>30</v>
      </c>
      <c r="W8" s="101">
        <v>30</v>
      </c>
      <c r="X8" s="101">
        <v>1</v>
      </c>
      <c r="Y8" s="101">
        <v>25</v>
      </c>
      <c r="Z8" s="101">
        <v>12</v>
      </c>
      <c r="AA8" s="101" t="s">
        <v>12</v>
      </c>
      <c r="AB8" s="101">
        <f>(((((Q8+AL8+AM8)/2)*1.5+((Y8+S8+U8+T8)*X8))/36)/2)*2</f>
        <v>3.1222222222222222</v>
      </c>
      <c r="AC8" s="101"/>
      <c r="AD8" s="101">
        <f t="shared" ref="AD8:AD13" si="2">((((Q8-R8*2)*1.5)+(Z8+S8)*2)*X8/36)/2</f>
        <v>1.588888888888889</v>
      </c>
      <c r="AE8" s="101">
        <f t="shared" si="1"/>
        <v>17.5</v>
      </c>
      <c r="AF8" s="101">
        <f>3.12222222222222*25</f>
        <v>78.0555555555555</v>
      </c>
      <c r="AG8" s="101"/>
      <c r="AH8" s="101">
        <f>3.12222222222222*10</f>
        <v>31.2222222222222</v>
      </c>
      <c r="AI8" s="101" t="s">
        <v>24</v>
      </c>
      <c r="AJ8" s="101">
        <v>12</v>
      </c>
      <c r="AK8" s="101">
        <v>180</v>
      </c>
      <c r="AL8" s="101">
        <v>10</v>
      </c>
      <c r="AM8" s="101">
        <v>10</v>
      </c>
      <c r="AN8" s="101">
        <v>8</v>
      </c>
      <c r="AO8" s="101" t="s">
        <v>59</v>
      </c>
      <c r="AP8" s="101"/>
      <c r="AQ8" s="101"/>
      <c r="AR8" s="101"/>
      <c r="AS8" s="19"/>
    </row>
    <row r="9" spans="1:45" ht="75">
      <c r="A9" s="12" t="s">
        <v>67</v>
      </c>
      <c r="B9" s="101" t="s">
        <v>23</v>
      </c>
      <c r="C9" s="101" t="s">
        <v>36</v>
      </c>
      <c r="D9" s="101" t="s">
        <v>24</v>
      </c>
      <c r="E9" s="101" t="s">
        <v>45</v>
      </c>
      <c r="F9" s="101" t="s">
        <v>173</v>
      </c>
      <c r="G9" s="101" t="s">
        <v>37</v>
      </c>
      <c r="H9" s="101" t="s">
        <v>38</v>
      </c>
      <c r="I9" s="101" t="s">
        <v>37</v>
      </c>
      <c r="J9" s="101" t="s">
        <v>38</v>
      </c>
      <c r="K9" s="101" t="s">
        <v>29</v>
      </c>
      <c r="L9" s="101"/>
      <c r="M9" s="101" t="s">
        <v>24</v>
      </c>
      <c r="N9" s="101" t="s">
        <v>37</v>
      </c>
      <c r="O9" s="101" t="s">
        <v>38</v>
      </c>
      <c r="P9" s="101" t="s">
        <v>162</v>
      </c>
      <c r="Q9" s="101">
        <v>96</v>
      </c>
      <c r="R9" s="101">
        <v>18</v>
      </c>
      <c r="S9" s="101">
        <v>0.2</v>
      </c>
      <c r="T9" s="101">
        <v>0.1</v>
      </c>
      <c r="U9" s="101">
        <v>0.1</v>
      </c>
      <c r="V9" s="101">
        <f t="shared" si="0"/>
        <v>30</v>
      </c>
      <c r="W9" s="101">
        <v>30</v>
      </c>
      <c r="X9" s="101">
        <v>1</v>
      </c>
      <c r="Y9" s="101">
        <v>25</v>
      </c>
      <c r="Z9" s="101">
        <v>12</v>
      </c>
      <c r="AA9" s="101" t="s">
        <v>12</v>
      </c>
      <c r="AB9" s="101">
        <f>ROUND((((((Q9+AL9+AM9)/2)*1.5+((Y9+S9+U9+T9)*X9))/36)/2)*2,2)</f>
        <v>3.12</v>
      </c>
      <c r="AC9" s="101">
        <f>ROUND((((((Q9+AL9+AM9)/2)*1.5+((Y9+S9+U9+T9)*X9))/36)/2)*2,2)</f>
        <v>3.12</v>
      </c>
      <c r="AD9" s="101">
        <f t="shared" si="2"/>
        <v>1.588888888888889</v>
      </c>
      <c r="AE9" s="101">
        <f t="shared" si="1"/>
        <v>17.5</v>
      </c>
      <c r="AF9" s="101">
        <f>3.12*25</f>
        <v>78</v>
      </c>
      <c r="AG9" s="101">
        <f>3.12*25</f>
        <v>78</v>
      </c>
      <c r="AH9" s="101">
        <f>3.12*10</f>
        <v>31.200000000000003</v>
      </c>
      <c r="AI9" s="101" t="s">
        <v>24</v>
      </c>
      <c r="AJ9" s="101">
        <v>12</v>
      </c>
      <c r="AK9" s="101">
        <v>180</v>
      </c>
      <c r="AL9" s="101">
        <v>10</v>
      </c>
      <c r="AM9" s="101">
        <v>10</v>
      </c>
      <c r="AN9" s="101">
        <v>8</v>
      </c>
      <c r="AO9" s="101" t="s">
        <v>59</v>
      </c>
      <c r="AP9" s="101"/>
      <c r="AQ9" s="101"/>
      <c r="AR9" s="101" t="s">
        <v>158</v>
      </c>
      <c r="AS9" s="19"/>
    </row>
    <row r="10" spans="1:45" ht="75">
      <c r="A10" s="12" t="s">
        <v>67</v>
      </c>
      <c r="B10" s="101" t="s">
        <v>23</v>
      </c>
      <c r="C10" s="101" t="s">
        <v>36</v>
      </c>
      <c r="D10" s="101" t="s">
        <v>24</v>
      </c>
      <c r="E10" s="101" t="s">
        <v>45</v>
      </c>
      <c r="F10" s="101" t="s">
        <v>51</v>
      </c>
      <c r="G10" s="101" t="s">
        <v>37</v>
      </c>
      <c r="H10" s="101" t="s">
        <v>38</v>
      </c>
      <c r="I10" s="101" t="s">
        <v>37</v>
      </c>
      <c r="J10" s="101" t="s">
        <v>38</v>
      </c>
      <c r="K10" s="101" t="s">
        <v>29</v>
      </c>
      <c r="L10" s="101"/>
      <c r="M10" s="101" t="s">
        <v>24</v>
      </c>
      <c r="N10" s="101" t="s">
        <v>37</v>
      </c>
      <c r="O10" s="101" t="s">
        <v>38</v>
      </c>
      <c r="P10" s="101" t="s">
        <v>162</v>
      </c>
      <c r="Q10" s="101">
        <v>96</v>
      </c>
      <c r="R10" s="101">
        <v>18</v>
      </c>
      <c r="S10" s="101">
        <v>0.2</v>
      </c>
      <c r="T10" s="101">
        <v>0.1</v>
      </c>
      <c r="U10" s="101">
        <v>0.1</v>
      </c>
      <c r="V10" s="101">
        <f t="shared" si="0"/>
        <v>30</v>
      </c>
      <c r="W10" s="101">
        <v>30</v>
      </c>
      <c r="X10" s="101">
        <v>1</v>
      </c>
      <c r="Y10" s="101">
        <v>25</v>
      </c>
      <c r="Z10" s="101">
        <v>12</v>
      </c>
      <c r="AA10" s="101" t="s">
        <v>12</v>
      </c>
      <c r="AB10" s="101">
        <f>ROUND(((((((Q10+AL10+AM10)/2)*1.5+((Y10+S10+U10+T10)*X10))/36)/2)/2)*2,2)</f>
        <v>1.56</v>
      </c>
      <c r="AC10" s="101">
        <f>ROUND(((((((Q10+AL10+AM10)/2)*1.5+((Y10+S10+U10+T10)*X10))/36)/2)/2)*2,2)</f>
        <v>1.56</v>
      </c>
      <c r="AD10" s="101">
        <f t="shared" si="2"/>
        <v>1.588888888888889</v>
      </c>
      <c r="AE10" s="101">
        <f t="shared" si="1"/>
        <v>17.5</v>
      </c>
      <c r="AF10" s="101">
        <f>1.56*25</f>
        <v>39</v>
      </c>
      <c r="AG10" s="101">
        <f>1.56*25</f>
        <v>39</v>
      </c>
      <c r="AH10" s="101">
        <f>1.56*10</f>
        <v>15.600000000000001</v>
      </c>
      <c r="AI10" s="101" t="s">
        <v>24</v>
      </c>
      <c r="AJ10" s="101">
        <v>12</v>
      </c>
      <c r="AK10" s="101">
        <v>180</v>
      </c>
      <c r="AL10" s="101">
        <v>10</v>
      </c>
      <c r="AM10" s="101">
        <v>10</v>
      </c>
      <c r="AN10" s="101">
        <v>8</v>
      </c>
      <c r="AO10" s="101" t="s">
        <v>59</v>
      </c>
      <c r="AP10" s="101"/>
      <c r="AQ10" s="101"/>
      <c r="AR10" s="101" t="s">
        <v>158</v>
      </c>
      <c r="AS10" s="19"/>
    </row>
    <row r="11" spans="1:45" ht="75">
      <c r="A11" s="12" t="s">
        <v>67</v>
      </c>
      <c r="B11" s="101" t="s">
        <v>23</v>
      </c>
      <c r="C11" s="101" t="s">
        <v>36</v>
      </c>
      <c r="D11" s="101" t="s">
        <v>24</v>
      </c>
      <c r="E11" s="101" t="s">
        <v>45</v>
      </c>
      <c r="F11" s="101" t="s">
        <v>55</v>
      </c>
      <c r="G11" s="101" t="s">
        <v>37</v>
      </c>
      <c r="H11" s="101" t="s">
        <v>38</v>
      </c>
      <c r="I11" s="101" t="s">
        <v>37</v>
      </c>
      <c r="J11" s="101" t="s">
        <v>38</v>
      </c>
      <c r="K11" s="101" t="s">
        <v>29</v>
      </c>
      <c r="L11" s="101"/>
      <c r="M11" s="101" t="s">
        <v>24</v>
      </c>
      <c r="N11" s="101" t="s">
        <v>37</v>
      </c>
      <c r="O11" s="101" t="s">
        <v>38</v>
      </c>
      <c r="P11" s="101" t="s">
        <v>162</v>
      </c>
      <c r="Q11" s="101">
        <v>96</v>
      </c>
      <c r="R11" s="101">
        <v>18</v>
      </c>
      <c r="S11" s="101">
        <v>0.2</v>
      </c>
      <c r="T11" s="101">
        <v>0.1</v>
      </c>
      <c r="U11" s="101">
        <v>0.1</v>
      </c>
      <c r="V11" s="101">
        <f t="shared" si="0"/>
        <v>30</v>
      </c>
      <c r="W11" s="101">
        <v>30</v>
      </c>
      <c r="X11" s="101">
        <v>1</v>
      </c>
      <c r="Y11" s="101">
        <v>25</v>
      </c>
      <c r="Z11" s="101">
        <v>12</v>
      </c>
      <c r="AA11" s="101" t="s">
        <v>12</v>
      </c>
      <c r="AB11" s="101">
        <f>ROUND(((((((Q11+AL11+AM11)/2)*1.5+((Y11+S11+U11+T11)*1))/36)/2)/2)*2,2)</f>
        <v>1.56</v>
      </c>
      <c r="AC11" s="101">
        <f>ROUND(((((((Q11+AL11+AM11)/2)*1.5+((Y11+S11+U11+T11)*0.5))/36)/2)/2)*2,2)</f>
        <v>1.38</v>
      </c>
      <c r="AD11" s="101">
        <f t="shared" si="2"/>
        <v>1.588888888888889</v>
      </c>
      <c r="AE11" s="101">
        <f t="shared" si="1"/>
        <v>17.5</v>
      </c>
      <c r="AF11" s="101">
        <f>1.56*25</f>
        <v>39</v>
      </c>
      <c r="AG11" s="101">
        <f>1.38*25</f>
        <v>34.5</v>
      </c>
      <c r="AH11" s="101">
        <f>1.56*10</f>
        <v>15.600000000000001</v>
      </c>
      <c r="AI11" s="101" t="s">
        <v>24</v>
      </c>
      <c r="AJ11" s="101">
        <v>12</v>
      </c>
      <c r="AK11" s="101">
        <v>180</v>
      </c>
      <c r="AL11" s="101">
        <v>10</v>
      </c>
      <c r="AM11" s="101">
        <v>10</v>
      </c>
      <c r="AN11" s="101">
        <v>8</v>
      </c>
      <c r="AO11" s="101" t="s">
        <v>59</v>
      </c>
      <c r="AP11" s="101"/>
      <c r="AQ11" s="101"/>
      <c r="AR11" s="101" t="s">
        <v>158</v>
      </c>
      <c r="AS11" s="19"/>
    </row>
    <row r="12" spans="1:45" ht="75">
      <c r="A12" s="12" t="s">
        <v>67</v>
      </c>
      <c r="B12" s="101" t="s">
        <v>23</v>
      </c>
      <c r="C12" s="101" t="s">
        <v>36</v>
      </c>
      <c r="D12" s="101" t="s">
        <v>24</v>
      </c>
      <c r="E12" s="101" t="s">
        <v>45</v>
      </c>
      <c r="F12" s="101" t="s">
        <v>173</v>
      </c>
      <c r="G12" s="101" t="s">
        <v>37</v>
      </c>
      <c r="H12" s="101" t="s">
        <v>38</v>
      </c>
      <c r="I12" s="101" t="s">
        <v>37</v>
      </c>
      <c r="J12" s="101" t="s">
        <v>38</v>
      </c>
      <c r="K12" s="101" t="s">
        <v>29</v>
      </c>
      <c r="L12" s="101"/>
      <c r="M12" s="101" t="s">
        <v>24</v>
      </c>
      <c r="N12" s="101" t="s">
        <v>37</v>
      </c>
      <c r="O12" s="101" t="s">
        <v>38</v>
      </c>
      <c r="P12" s="101" t="s">
        <v>162</v>
      </c>
      <c r="Q12" s="101">
        <v>96</v>
      </c>
      <c r="R12" s="101">
        <v>18</v>
      </c>
      <c r="S12" s="101">
        <v>0.2</v>
      </c>
      <c r="T12" s="101">
        <v>0.1</v>
      </c>
      <c r="U12" s="101">
        <v>0.1</v>
      </c>
      <c r="V12" s="101">
        <f t="shared" si="0"/>
        <v>30</v>
      </c>
      <c r="W12" s="101">
        <v>30</v>
      </c>
      <c r="X12" s="101">
        <v>1</v>
      </c>
      <c r="Y12" s="101">
        <v>25</v>
      </c>
      <c r="Z12" s="101">
        <v>12</v>
      </c>
      <c r="AA12" s="101" t="s">
        <v>12</v>
      </c>
      <c r="AB12" s="101">
        <f>ROUND((((((Q12+AL12+AM12)/2)*1.5+((Y12+S12+U12+T12)*X12))/36)/2)*2,2)</f>
        <v>3.12</v>
      </c>
      <c r="AC12" s="101">
        <f>ROUND((((((Q12+AL12+AM12)/2)*1.5+((Y12+S12+U12+T12)*X12))/36)/2)*2,2)</f>
        <v>3.12</v>
      </c>
      <c r="AD12" s="101">
        <f t="shared" si="2"/>
        <v>1.588888888888889</v>
      </c>
      <c r="AE12" s="101">
        <f t="shared" si="1"/>
        <v>17.5</v>
      </c>
      <c r="AF12" s="101">
        <f>3.12*25</f>
        <v>78</v>
      </c>
      <c r="AG12" s="101">
        <f>3.12*25</f>
        <v>78</v>
      </c>
      <c r="AH12" s="101">
        <f>3.12*10</f>
        <v>31.200000000000003</v>
      </c>
      <c r="AI12" s="101" t="s">
        <v>24</v>
      </c>
      <c r="AJ12" s="101">
        <v>12</v>
      </c>
      <c r="AK12" s="101">
        <v>180</v>
      </c>
      <c r="AL12" s="101">
        <v>10</v>
      </c>
      <c r="AM12" s="101">
        <v>10</v>
      </c>
      <c r="AN12" s="101">
        <v>8</v>
      </c>
      <c r="AO12" s="101" t="s">
        <v>59</v>
      </c>
      <c r="AP12" s="101"/>
      <c r="AQ12" s="101"/>
      <c r="AR12" s="101" t="s">
        <v>158</v>
      </c>
      <c r="AS12" s="19"/>
    </row>
    <row r="13" spans="1:45" ht="60">
      <c r="A13" s="12" t="s">
        <v>67</v>
      </c>
      <c r="B13" s="101" t="s">
        <v>23</v>
      </c>
      <c r="C13" s="101" t="s">
        <v>36</v>
      </c>
      <c r="D13" s="101" t="s">
        <v>24</v>
      </c>
      <c r="E13" s="101" t="s">
        <v>45</v>
      </c>
      <c r="F13" s="101" t="s">
        <v>173</v>
      </c>
      <c r="G13" s="101" t="s">
        <v>37</v>
      </c>
      <c r="H13" s="101" t="s">
        <v>38</v>
      </c>
      <c r="I13" s="101" t="s">
        <v>37</v>
      </c>
      <c r="J13" s="101" t="s">
        <v>38</v>
      </c>
      <c r="K13" s="101" t="s">
        <v>174</v>
      </c>
      <c r="L13" s="101"/>
      <c r="M13" s="101" t="s">
        <v>24</v>
      </c>
      <c r="N13" s="101" t="s">
        <v>37</v>
      </c>
      <c r="O13" s="101" t="s">
        <v>38</v>
      </c>
      <c r="P13" s="101" t="s">
        <v>162</v>
      </c>
      <c r="Q13" s="101">
        <v>96</v>
      </c>
      <c r="R13" s="101">
        <v>18</v>
      </c>
      <c r="S13" s="101">
        <v>0.2</v>
      </c>
      <c r="T13" s="101">
        <v>0.1</v>
      </c>
      <c r="U13" s="101">
        <v>0.1</v>
      </c>
      <c r="V13" s="101">
        <f t="shared" si="0"/>
        <v>30</v>
      </c>
      <c r="W13" s="101">
        <v>30</v>
      </c>
      <c r="X13" s="101">
        <v>1</v>
      </c>
      <c r="Y13" s="101">
        <v>25</v>
      </c>
      <c r="Z13" s="101">
        <v>12</v>
      </c>
      <c r="AA13" s="101" t="s">
        <v>12</v>
      </c>
      <c r="AB13" s="101"/>
      <c r="AC13" s="101"/>
      <c r="AD13" s="101">
        <f t="shared" si="2"/>
        <v>1.588888888888889</v>
      </c>
      <c r="AE13" s="101">
        <f t="shared" si="1"/>
        <v>17.5</v>
      </c>
      <c r="AF13" s="101"/>
      <c r="AG13" s="101"/>
      <c r="AH13" s="101"/>
      <c r="AI13" s="101"/>
      <c r="AJ13" s="101"/>
      <c r="AK13" s="101">
        <v>180</v>
      </c>
      <c r="AL13" s="101">
        <v>10</v>
      </c>
      <c r="AM13" s="101">
        <v>10</v>
      </c>
      <c r="AN13" s="101">
        <v>8</v>
      </c>
      <c r="AO13" s="101" t="s">
        <v>59</v>
      </c>
      <c r="AP13" s="101"/>
      <c r="AQ13" s="101"/>
      <c r="AR13" s="101"/>
      <c r="AS13" s="19"/>
    </row>
    <row r="14" spans="1:45" ht="75">
      <c r="A14" s="12" t="s">
        <v>67</v>
      </c>
      <c r="B14" s="101" t="s">
        <v>23</v>
      </c>
      <c r="C14" s="101" t="s">
        <v>36</v>
      </c>
      <c r="D14" s="101" t="s">
        <v>24</v>
      </c>
      <c r="E14" s="101" t="s">
        <v>45</v>
      </c>
      <c r="F14" s="101" t="s">
        <v>173</v>
      </c>
      <c r="G14" s="101" t="s">
        <v>37</v>
      </c>
      <c r="H14" s="101" t="s">
        <v>38</v>
      </c>
      <c r="I14" s="101" t="s">
        <v>37</v>
      </c>
      <c r="J14" s="101" t="s">
        <v>38</v>
      </c>
      <c r="K14" s="101" t="s">
        <v>52</v>
      </c>
      <c r="L14" s="101"/>
      <c r="M14" s="101" t="s">
        <v>32</v>
      </c>
      <c r="N14" s="101"/>
      <c r="O14" s="101"/>
      <c r="P14" s="101" t="s">
        <v>162</v>
      </c>
      <c r="Q14" s="101">
        <v>96</v>
      </c>
      <c r="R14" s="101">
        <v>18</v>
      </c>
      <c r="S14" s="101">
        <v>0.2</v>
      </c>
      <c r="T14" s="101">
        <v>0.1</v>
      </c>
      <c r="U14" s="101">
        <v>0.1</v>
      </c>
      <c r="V14" s="101">
        <f t="shared" si="0"/>
        <v>30</v>
      </c>
      <c r="W14" s="101">
        <v>40</v>
      </c>
      <c r="X14" s="101">
        <v>1</v>
      </c>
      <c r="Y14" s="101">
        <v>36</v>
      </c>
      <c r="Z14" s="101">
        <v>18</v>
      </c>
      <c r="AA14" s="101" t="s">
        <v>12</v>
      </c>
      <c r="AB14" s="101">
        <f>ROUND((((((Q14+AL14+AM14)/2)*2+((Y14+S14+U14+T14)*X14))/36)/2),2)</f>
        <v>2.5099999999999998</v>
      </c>
      <c r="AC14" s="101">
        <f>ROUND((((((Q14+AL14+AM14)/2)*2+((Y14+S14+U14+T14)*X14))/36)/2),2)</f>
        <v>2.5099999999999998</v>
      </c>
      <c r="AD14" s="101"/>
      <c r="AE14" s="101">
        <f t="shared" si="1"/>
        <v>17.5</v>
      </c>
      <c r="AF14" s="101">
        <f>2.51*25</f>
        <v>62.749999999999993</v>
      </c>
      <c r="AG14" s="101">
        <f>2.51*25</f>
        <v>62.749999999999993</v>
      </c>
      <c r="AH14" s="101"/>
      <c r="AI14" s="101" t="s">
        <v>24</v>
      </c>
      <c r="AJ14" s="101">
        <v>10</v>
      </c>
      <c r="AK14" s="101">
        <v>241</v>
      </c>
      <c r="AL14" s="101">
        <v>24</v>
      </c>
      <c r="AM14" s="101">
        <v>24</v>
      </c>
      <c r="AN14" s="101">
        <v>-6</v>
      </c>
      <c r="AO14" s="101" t="s">
        <v>33</v>
      </c>
      <c r="AP14" s="101"/>
      <c r="AQ14" s="101"/>
      <c r="AR14" s="101" t="s">
        <v>158</v>
      </c>
      <c r="AS14" s="19"/>
    </row>
    <row r="15" spans="1:45" ht="75">
      <c r="A15" s="12" t="s">
        <v>67</v>
      </c>
      <c r="B15" s="101" t="s">
        <v>23</v>
      </c>
      <c r="C15" s="101" t="s">
        <v>36</v>
      </c>
      <c r="D15" s="101" t="s">
        <v>24</v>
      </c>
      <c r="E15" s="101" t="s">
        <v>45</v>
      </c>
      <c r="F15" s="101" t="s">
        <v>51</v>
      </c>
      <c r="G15" s="101" t="s">
        <v>37</v>
      </c>
      <c r="H15" s="101" t="s">
        <v>38</v>
      </c>
      <c r="I15" s="101" t="s">
        <v>37</v>
      </c>
      <c r="J15" s="101" t="s">
        <v>38</v>
      </c>
      <c r="K15" s="101" t="s">
        <v>52</v>
      </c>
      <c r="L15" s="101"/>
      <c r="M15" s="101" t="s">
        <v>32</v>
      </c>
      <c r="N15" s="101"/>
      <c r="O15" s="101"/>
      <c r="P15" s="101" t="s">
        <v>162</v>
      </c>
      <c r="Q15" s="101">
        <v>96</v>
      </c>
      <c r="R15" s="101">
        <v>18</v>
      </c>
      <c r="S15" s="101">
        <v>0.2</v>
      </c>
      <c r="T15" s="101">
        <v>0.1</v>
      </c>
      <c r="U15" s="101">
        <v>0.1</v>
      </c>
      <c r="V15" s="101">
        <f t="shared" si="0"/>
        <v>30</v>
      </c>
      <c r="W15" s="101">
        <v>40</v>
      </c>
      <c r="X15" s="101">
        <v>1</v>
      </c>
      <c r="Y15" s="101">
        <v>36</v>
      </c>
      <c r="Z15" s="101">
        <v>18</v>
      </c>
      <c r="AA15" s="101" t="s">
        <v>12</v>
      </c>
      <c r="AB15" s="101">
        <f>ROUND(((((((Q15+AL15+AM15)/2)*2+((Y15+S15+U15+T15)*X15))/36)/2)/2),2)</f>
        <v>1.25</v>
      </c>
      <c r="AC15" s="101">
        <f>ROUND(((((((Q15+AL15+AM15)/2)*2+((Y15+S15+U15+T15)*X15))/36)/2)/2),2)</f>
        <v>1.25</v>
      </c>
      <c r="AD15" s="101"/>
      <c r="AE15" s="101">
        <f t="shared" si="1"/>
        <v>17.5</v>
      </c>
      <c r="AF15" s="101">
        <f t="shared" ref="AF15:AG17" si="3">1.25*25</f>
        <v>31.25</v>
      </c>
      <c r="AG15" s="101">
        <f t="shared" si="3"/>
        <v>31.25</v>
      </c>
      <c r="AH15" s="101"/>
      <c r="AI15" s="101" t="s">
        <v>24</v>
      </c>
      <c r="AJ15" s="101">
        <v>10</v>
      </c>
      <c r="AK15" s="101">
        <v>241</v>
      </c>
      <c r="AL15" s="101">
        <v>24</v>
      </c>
      <c r="AM15" s="101">
        <v>24</v>
      </c>
      <c r="AN15" s="101">
        <v>-6</v>
      </c>
      <c r="AO15" s="101" t="s">
        <v>33</v>
      </c>
      <c r="AP15" s="101"/>
      <c r="AQ15" s="101"/>
      <c r="AR15" s="101" t="s">
        <v>158</v>
      </c>
      <c r="AS15" s="19"/>
    </row>
    <row r="16" spans="1:45" ht="75">
      <c r="A16" s="12" t="s">
        <v>67</v>
      </c>
      <c r="B16" s="101" t="s">
        <v>23</v>
      </c>
      <c r="C16" s="101" t="s">
        <v>36</v>
      </c>
      <c r="D16" s="101" t="s">
        <v>24</v>
      </c>
      <c r="E16" s="101" t="s">
        <v>45</v>
      </c>
      <c r="F16" s="101" t="s">
        <v>55</v>
      </c>
      <c r="G16" s="101" t="s">
        <v>37</v>
      </c>
      <c r="H16" s="101" t="s">
        <v>38</v>
      </c>
      <c r="I16" s="101" t="s">
        <v>37</v>
      </c>
      <c r="J16" s="101" t="s">
        <v>38</v>
      </c>
      <c r="K16" s="101" t="s">
        <v>52</v>
      </c>
      <c r="L16" s="101"/>
      <c r="M16" s="101" t="s">
        <v>32</v>
      </c>
      <c r="N16" s="101"/>
      <c r="O16" s="101"/>
      <c r="P16" s="101" t="s">
        <v>162</v>
      </c>
      <c r="Q16" s="101">
        <v>96</v>
      </c>
      <c r="R16" s="101">
        <v>18</v>
      </c>
      <c r="S16" s="101">
        <v>0.2</v>
      </c>
      <c r="T16" s="101">
        <v>0.1</v>
      </c>
      <c r="U16" s="101">
        <v>0.1</v>
      </c>
      <c r="V16" s="101">
        <f t="shared" si="0"/>
        <v>30</v>
      </c>
      <c r="W16" s="101">
        <v>40</v>
      </c>
      <c r="X16" s="101">
        <v>1</v>
      </c>
      <c r="Y16" s="101">
        <v>36</v>
      </c>
      <c r="Z16" s="101">
        <v>18</v>
      </c>
      <c r="AA16" s="101" t="s">
        <v>12</v>
      </c>
      <c r="AB16" s="101">
        <f>ROUND(((((((Q16+AL16+AM16)/2)*2+((Y16+S16+U16+T16)*1))/36)/2)/2),2)</f>
        <v>1.25</v>
      </c>
      <c r="AC16" s="101">
        <f>ROUND(((((((Q16+AL16+AM16)/2)*2+((Y16+S16+U16+T16)*1))/36)/2)/2),2)</f>
        <v>1.25</v>
      </c>
      <c r="AD16" s="101"/>
      <c r="AE16" s="101">
        <f t="shared" si="1"/>
        <v>17.5</v>
      </c>
      <c r="AF16" s="101">
        <f t="shared" si="3"/>
        <v>31.25</v>
      </c>
      <c r="AG16" s="101">
        <f t="shared" si="3"/>
        <v>31.25</v>
      </c>
      <c r="AH16" s="101"/>
      <c r="AI16" s="101" t="s">
        <v>24</v>
      </c>
      <c r="AJ16" s="101">
        <v>10</v>
      </c>
      <c r="AK16" s="101">
        <v>241</v>
      </c>
      <c r="AL16" s="101">
        <v>24</v>
      </c>
      <c r="AM16" s="101">
        <v>24</v>
      </c>
      <c r="AN16" s="101">
        <v>-6</v>
      </c>
      <c r="AO16" s="101" t="s">
        <v>33</v>
      </c>
      <c r="AP16" s="101"/>
      <c r="AQ16" s="101"/>
      <c r="AR16" s="101" t="s">
        <v>158</v>
      </c>
      <c r="AS16" s="19"/>
    </row>
    <row r="17" spans="1:45" ht="75">
      <c r="A17" s="12" t="s">
        <v>67</v>
      </c>
      <c r="B17" s="101" t="s">
        <v>23</v>
      </c>
      <c r="C17" s="101" t="s">
        <v>36</v>
      </c>
      <c r="D17" s="101" t="s">
        <v>24</v>
      </c>
      <c r="E17" s="101" t="s">
        <v>45</v>
      </c>
      <c r="F17" s="101" t="s">
        <v>55</v>
      </c>
      <c r="G17" s="101" t="s">
        <v>37</v>
      </c>
      <c r="H17" s="101" t="s">
        <v>38</v>
      </c>
      <c r="I17" s="101" t="s">
        <v>37</v>
      </c>
      <c r="J17" s="101" t="s">
        <v>38</v>
      </c>
      <c r="K17" s="101" t="s">
        <v>52</v>
      </c>
      <c r="L17" s="101"/>
      <c r="M17" s="101" t="s">
        <v>24</v>
      </c>
      <c r="N17" s="101" t="s">
        <v>37</v>
      </c>
      <c r="O17" s="101" t="s">
        <v>38</v>
      </c>
      <c r="P17" s="101" t="s">
        <v>162</v>
      </c>
      <c r="Q17" s="101">
        <v>96</v>
      </c>
      <c r="R17" s="101">
        <v>18</v>
      </c>
      <c r="S17" s="101">
        <v>0.2</v>
      </c>
      <c r="T17" s="101">
        <v>0.1</v>
      </c>
      <c r="U17" s="101">
        <v>0.1</v>
      </c>
      <c r="V17" s="101">
        <f t="shared" si="0"/>
        <v>30</v>
      </c>
      <c r="W17" s="101">
        <v>40</v>
      </c>
      <c r="X17" s="101">
        <v>1</v>
      </c>
      <c r="Y17" s="101">
        <v>36</v>
      </c>
      <c r="Z17" s="101">
        <v>18</v>
      </c>
      <c r="AA17" s="101" t="s">
        <v>12</v>
      </c>
      <c r="AB17" s="101">
        <f>ROUND(((((((Q17+AL17+AM17)/2)*2+((Y17+S17+U17+T17)*1))/36)/2)/2),2)</f>
        <v>1.25</v>
      </c>
      <c r="AC17" s="101">
        <f>ROUND(((((((Q17+AL17+AM17)/2)*2+((Y17+S17+U17+T17)*1))/36)/2)/2),2)</f>
        <v>1.25</v>
      </c>
      <c r="AD17" s="101">
        <f t="shared" ref="AD17:AD24" si="4">((((Q17-R17*2)*2)+(Z17+S17)*2)*X17/36)/2</f>
        <v>2.1722222222222225</v>
      </c>
      <c r="AE17" s="101">
        <f t="shared" si="1"/>
        <v>17.5</v>
      </c>
      <c r="AF17" s="101">
        <f t="shared" si="3"/>
        <v>31.25</v>
      </c>
      <c r="AG17" s="101">
        <f t="shared" si="3"/>
        <v>31.25</v>
      </c>
      <c r="AH17" s="101">
        <f>1.25*10</f>
        <v>12.5</v>
      </c>
      <c r="AI17" s="101" t="s">
        <v>24</v>
      </c>
      <c r="AJ17" s="101">
        <v>10</v>
      </c>
      <c r="AK17" s="101">
        <v>241</v>
      </c>
      <c r="AL17" s="101">
        <v>24</v>
      </c>
      <c r="AM17" s="101">
        <v>24</v>
      </c>
      <c r="AN17" s="101">
        <v>-6</v>
      </c>
      <c r="AO17" s="101" t="s">
        <v>33</v>
      </c>
      <c r="AP17" s="101"/>
      <c r="AQ17" s="101"/>
      <c r="AR17" s="101" t="s">
        <v>158</v>
      </c>
      <c r="AS17" s="19"/>
    </row>
    <row r="18" spans="1:45" ht="75">
      <c r="A18" s="12" t="s">
        <v>67</v>
      </c>
      <c r="B18" s="101" t="s">
        <v>23</v>
      </c>
      <c r="C18" s="101" t="s">
        <v>36</v>
      </c>
      <c r="D18" s="101" t="s">
        <v>24</v>
      </c>
      <c r="E18" s="101" t="s">
        <v>45</v>
      </c>
      <c r="F18" s="101" t="s">
        <v>55</v>
      </c>
      <c r="G18" s="101" t="s">
        <v>37</v>
      </c>
      <c r="H18" s="101" t="s">
        <v>38</v>
      </c>
      <c r="I18" s="101" t="s">
        <v>37</v>
      </c>
      <c r="J18" s="101" t="s">
        <v>38</v>
      </c>
      <c r="K18" s="101" t="s">
        <v>29</v>
      </c>
      <c r="L18" s="101"/>
      <c r="M18" s="101" t="s">
        <v>24</v>
      </c>
      <c r="N18" s="101" t="s">
        <v>37</v>
      </c>
      <c r="O18" s="101" t="s">
        <v>38</v>
      </c>
      <c r="P18" s="101" t="s">
        <v>162</v>
      </c>
      <c r="Q18" s="101">
        <v>96</v>
      </c>
      <c r="R18" s="101">
        <v>18</v>
      </c>
      <c r="S18" s="101">
        <v>0.2</v>
      </c>
      <c r="T18" s="101">
        <v>0.1</v>
      </c>
      <c r="U18" s="101">
        <v>0.1</v>
      </c>
      <c r="V18" s="101">
        <f t="shared" si="0"/>
        <v>30</v>
      </c>
      <c r="W18" s="101">
        <v>40</v>
      </c>
      <c r="X18" s="101">
        <v>1</v>
      </c>
      <c r="Y18" s="101">
        <v>36</v>
      </c>
      <c r="Z18" s="101">
        <v>18</v>
      </c>
      <c r="AA18" s="101" t="s">
        <v>12</v>
      </c>
      <c r="AB18" s="101">
        <f>ROUND(((((((Q18+AL18+AM18)/2)*2+((Y18+S18+U18+T18)*1))/36)/2)/2)*2,2)</f>
        <v>2.5099999999999998</v>
      </c>
      <c r="AC18" s="101">
        <f>ROUND(((((((Q18+AL18+AM18)/2)*2+((Y18+S18+U18+T18)*1))/36)/2)/2)*2,2)</f>
        <v>2.5099999999999998</v>
      </c>
      <c r="AD18" s="101">
        <f t="shared" si="4"/>
        <v>2.1722222222222225</v>
      </c>
      <c r="AE18" s="101">
        <f t="shared" si="1"/>
        <v>17.5</v>
      </c>
      <c r="AF18" s="101">
        <f>2.51*25</f>
        <v>62.749999999999993</v>
      </c>
      <c r="AG18" s="101">
        <f>2.51*25</f>
        <v>62.749999999999993</v>
      </c>
      <c r="AH18" s="101">
        <f>2.51*10</f>
        <v>25.099999999999998</v>
      </c>
      <c r="AI18" s="101" t="s">
        <v>24</v>
      </c>
      <c r="AJ18" s="101">
        <v>10</v>
      </c>
      <c r="AK18" s="101">
        <v>241</v>
      </c>
      <c r="AL18" s="101">
        <v>24</v>
      </c>
      <c r="AM18" s="101">
        <v>24</v>
      </c>
      <c r="AN18" s="101">
        <v>-6</v>
      </c>
      <c r="AO18" s="101" t="s">
        <v>33</v>
      </c>
      <c r="AP18" s="101"/>
      <c r="AQ18" s="101"/>
      <c r="AR18" s="101" t="s">
        <v>158</v>
      </c>
      <c r="AS18" s="19"/>
    </row>
    <row r="19" spans="1:45" ht="75">
      <c r="A19" s="12" t="s">
        <v>67</v>
      </c>
      <c r="B19" s="101" t="s">
        <v>23</v>
      </c>
      <c r="C19" s="101" t="s">
        <v>36</v>
      </c>
      <c r="D19" s="101" t="s">
        <v>24</v>
      </c>
      <c r="E19" s="101" t="s">
        <v>45</v>
      </c>
      <c r="F19" s="101" t="s">
        <v>173</v>
      </c>
      <c r="G19" s="101" t="s">
        <v>37</v>
      </c>
      <c r="H19" s="101" t="s">
        <v>38</v>
      </c>
      <c r="I19" s="101" t="s">
        <v>37</v>
      </c>
      <c r="J19" s="101" t="s">
        <v>38</v>
      </c>
      <c r="K19" s="101" t="s">
        <v>29</v>
      </c>
      <c r="L19" s="101"/>
      <c r="M19" s="101" t="s">
        <v>24</v>
      </c>
      <c r="N19" s="101" t="s">
        <v>37</v>
      </c>
      <c r="O19" s="101" t="s">
        <v>38</v>
      </c>
      <c r="P19" s="101" t="s">
        <v>162</v>
      </c>
      <c r="Q19" s="101">
        <v>96</v>
      </c>
      <c r="R19" s="101">
        <v>18</v>
      </c>
      <c r="S19" s="101">
        <v>0.2</v>
      </c>
      <c r="T19" s="101">
        <v>0.1</v>
      </c>
      <c r="U19" s="101">
        <v>0.1</v>
      </c>
      <c r="V19" s="101">
        <f t="shared" si="0"/>
        <v>30</v>
      </c>
      <c r="W19" s="101">
        <v>40</v>
      </c>
      <c r="X19" s="101">
        <v>1</v>
      </c>
      <c r="Y19" s="101">
        <v>36</v>
      </c>
      <c r="Z19" s="101">
        <v>18</v>
      </c>
      <c r="AA19" s="101" t="s">
        <v>12</v>
      </c>
      <c r="AB19" s="101">
        <f>ROUND((((((Q19+AL19+AM19)/2)*2+((Y19+S19+U19+T19)*X19))/36)/2)*2,2)</f>
        <v>5.01</v>
      </c>
      <c r="AC19" s="101">
        <f>ROUND((((((Q19+AL19+AM19)/2)*2+((Y19+S19+U19+T19)*X19))/36)/2)*2,2)</f>
        <v>5.01</v>
      </c>
      <c r="AD19" s="101">
        <f t="shared" si="4"/>
        <v>2.1722222222222225</v>
      </c>
      <c r="AE19" s="101">
        <f t="shared" si="1"/>
        <v>17.5</v>
      </c>
      <c r="AF19" s="101">
        <f>5.01*25</f>
        <v>125.25</v>
      </c>
      <c r="AG19" s="101">
        <f>5.01*25</f>
        <v>125.25</v>
      </c>
      <c r="AH19" s="101">
        <f>5.01*10</f>
        <v>50.099999999999994</v>
      </c>
      <c r="AI19" s="101" t="s">
        <v>24</v>
      </c>
      <c r="AJ19" s="101">
        <v>10</v>
      </c>
      <c r="AK19" s="101">
        <v>241</v>
      </c>
      <c r="AL19" s="101">
        <v>24</v>
      </c>
      <c r="AM19" s="101">
        <v>24</v>
      </c>
      <c r="AN19" s="101">
        <v>-6</v>
      </c>
      <c r="AO19" s="101" t="s">
        <v>33</v>
      </c>
      <c r="AP19" s="101"/>
      <c r="AQ19" s="101"/>
      <c r="AR19" s="101" t="s">
        <v>158</v>
      </c>
      <c r="AS19" s="19"/>
    </row>
    <row r="20" spans="1:45" ht="75">
      <c r="A20" s="12" t="s">
        <v>67</v>
      </c>
      <c r="B20" s="101" t="s">
        <v>23</v>
      </c>
      <c r="C20" s="101" t="s">
        <v>36</v>
      </c>
      <c r="D20" s="101" t="s">
        <v>24</v>
      </c>
      <c r="E20" s="101" t="s">
        <v>45</v>
      </c>
      <c r="F20" s="101" t="s">
        <v>51</v>
      </c>
      <c r="G20" s="101" t="s">
        <v>37</v>
      </c>
      <c r="H20" s="101" t="s">
        <v>38</v>
      </c>
      <c r="I20" s="101" t="s">
        <v>37</v>
      </c>
      <c r="J20" s="101" t="s">
        <v>38</v>
      </c>
      <c r="K20" s="101" t="s">
        <v>29</v>
      </c>
      <c r="L20" s="101"/>
      <c r="M20" s="101" t="s">
        <v>24</v>
      </c>
      <c r="N20" s="101" t="s">
        <v>37</v>
      </c>
      <c r="O20" s="101" t="s">
        <v>38</v>
      </c>
      <c r="P20" s="101" t="s">
        <v>162</v>
      </c>
      <c r="Q20" s="101">
        <v>96</v>
      </c>
      <c r="R20" s="101">
        <v>18</v>
      </c>
      <c r="S20" s="101">
        <v>0.2</v>
      </c>
      <c r="T20" s="101">
        <v>0.1</v>
      </c>
      <c r="U20" s="101">
        <v>0.1</v>
      </c>
      <c r="V20" s="101">
        <f t="shared" si="0"/>
        <v>30</v>
      </c>
      <c r="W20" s="101">
        <v>40</v>
      </c>
      <c r="X20" s="101">
        <v>1</v>
      </c>
      <c r="Y20" s="101">
        <v>36</v>
      </c>
      <c r="Z20" s="101">
        <v>18</v>
      </c>
      <c r="AA20" s="101" t="s">
        <v>12</v>
      </c>
      <c r="AB20" s="101">
        <f>ROUND(((((((Q20+AL20+AM20)/2)*2+((Y20+S20+U20+T20)*X20))/36)/2)/2)*2,2)</f>
        <v>2.5099999999999998</v>
      </c>
      <c r="AC20" s="101">
        <f>ROUND(((((((Q20+AL20+AM20)/2)*2+((Y20+S20+U20+T20)*X20))/36)/2)/2)*2,2)</f>
        <v>2.5099999999999998</v>
      </c>
      <c r="AD20" s="101">
        <f t="shared" si="4"/>
        <v>2.1722222222222225</v>
      </c>
      <c r="AE20" s="101">
        <f t="shared" si="1"/>
        <v>17.5</v>
      </c>
      <c r="AF20" s="101">
        <f>2.51*25</f>
        <v>62.749999999999993</v>
      </c>
      <c r="AG20" s="101">
        <f>2.51*25</f>
        <v>62.749999999999993</v>
      </c>
      <c r="AH20" s="101">
        <f>2.51*10</f>
        <v>25.099999999999998</v>
      </c>
      <c r="AI20" s="101" t="s">
        <v>24</v>
      </c>
      <c r="AJ20" s="101">
        <v>10</v>
      </c>
      <c r="AK20" s="101">
        <v>241</v>
      </c>
      <c r="AL20" s="101">
        <v>24</v>
      </c>
      <c r="AM20" s="101">
        <v>24</v>
      </c>
      <c r="AN20" s="101">
        <v>-6</v>
      </c>
      <c r="AO20" s="101" t="s">
        <v>33</v>
      </c>
      <c r="AP20" s="101"/>
      <c r="AQ20" s="101"/>
      <c r="AR20" s="101" t="s">
        <v>158</v>
      </c>
      <c r="AS20" s="19"/>
    </row>
    <row r="21" spans="1:45" ht="75">
      <c r="A21" s="12" t="s">
        <v>67</v>
      </c>
      <c r="B21" s="101" t="s">
        <v>23</v>
      </c>
      <c r="C21" s="101" t="s">
        <v>36</v>
      </c>
      <c r="D21" s="101" t="s">
        <v>24</v>
      </c>
      <c r="E21" s="101" t="s">
        <v>45</v>
      </c>
      <c r="F21" s="101" t="s">
        <v>51</v>
      </c>
      <c r="G21" s="101" t="s">
        <v>37</v>
      </c>
      <c r="H21" s="101" t="s">
        <v>38</v>
      </c>
      <c r="I21" s="101" t="s">
        <v>37</v>
      </c>
      <c r="J21" s="101" t="s">
        <v>38</v>
      </c>
      <c r="K21" s="101" t="s">
        <v>52</v>
      </c>
      <c r="L21" s="101"/>
      <c r="M21" s="101" t="s">
        <v>24</v>
      </c>
      <c r="N21" s="101" t="s">
        <v>37</v>
      </c>
      <c r="O21" s="101" t="s">
        <v>38</v>
      </c>
      <c r="P21" s="101" t="s">
        <v>162</v>
      </c>
      <c r="Q21" s="101">
        <v>96</v>
      </c>
      <c r="R21" s="101">
        <v>18</v>
      </c>
      <c r="S21" s="101">
        <v>0.2</v>
      </c>
      <c r="T21" s="101">
        <v>0.1</v>
      </c>
      <c r="U21" s="101">
        <v>0.1</v>
      </c>
      <c r="V21" s="101">
        <f t="shared" si="0"/>
        <v>30</v>
      </c>
      <c r="W21" s="101">
        <v>40</v>
      </c>
      <c r="X21" s="101">
        <v>1</v>
      </c>
      <c r="Y21" s="101">
        <v>36</v>
      </c>
      <c r="Z21" s="101">
        <v>18</v>
      </c>
      <c r="AA21" s="101" t="s">
        <v>12</v>
      </c>
      <c r="AB21" s="101">
        <f>ROUND(((((((Q21+AL21+AM21)/2)*2+((Y21+S21+U21+T21)*X21))/36)/2)/2),2)</f>
        <v>1.25</v>
      </c>
      <c r="AC21" s="101">
        <f>ROUND(((((((Q21+AL21+AM21)/2)*2+((Y21+S21+U21+T21)*X21))/36)/2)/2),2)</f>
        <v>1.25</v>
      </c>
      <c r="AD21" s="101">
        <f t="shared" si="4"/>
        <v>2.1722222222222225</v>
      </c>
      <c r="AE21" s="101">
        <f t="shared" si="1"/>
        <v>17.5</v>
      </c>
      <c r="AF21" s="101">
        <f>1.25*25</f>
        <v>31.25</v>
      </c>
      <c r="AG21" s="101">
        <f>1.25*25</f>
        <v>31.25</v>
      </c>
      <c r="AH21" s="101">
        <f>1.25*10</f>
        <v>12.5</v>
      </c>
      <c r="AI21" s="101" t="s">
        <v>24</v>
      </c>
      <c r="AJ21" s="101">
        <v>10</v>
      </c>
      <c r="AK21" s="101">
        <v>241</v>
      </c>
      <c r="AL21" s="101">
        <v>24</v>
      </c>
      <c r="AM21" s="101">
        <v>24</v>
      </c>
      <c r="AN21" s="101">
        <v>-6</v>
      </c>
      <c r="AO21" s="101" t="s">
        <v>33</v>
      </c>
      <c r="AP21" s="101"/>
      <c r="AQ21" s="101"/>
      <c r="AR21" s="101" t="s">
        <v>158</v>
      </c>
      <c r="AS21" s="19"/>
    </row>
    <row r="22" spans="1:45" ht="75">
      <c r="A22" s="12" t="s">
        <v>67</v>
      </c>
      <c r="B22" s="101" t="s">
        <v>23</v>
      </c>
      <c r="C22" s="101" t="s">
        <v>36</v>
      </c>
      <c r="D22" s="101" t="s">
        <v>24</v>
      </c>
      <c r="E22" s="101" t="s">
        <v>45</v>
      </c>
      <c r="F22" s="101" t="s">
        <v>173</v>
      </c>
      <c r="G22" s="101" t="s">
        <v>37</v>
      </c>
      <c r="H22" s="101" t="s">
        <v>38</v>
      </c>
      <c r="I22" s="101" t="s">
        <v>37</v>
      </c>
      <c r="J22" s="101" t="s">
        <v>38</v>
      </c>
      <c r="K22" s="101" t="s">
        <v>52</v>
      </c>
      <c r="L22" s="101"/>
      <c r="M22" s="101" t="s">
        <v>24</v>
      </c>
      <c r="N22" s="101" t="s">
        <v>37</v>
      </c>
      <c r="O22" s="101" t="s">
        <v>38</v>
      </c>
      <c r="P22" s="101" t="s">
        <v>162</v>
      </c>
      <c r="Q22" s="101">
        <v>96</v>
      </c>
      <c r="R22" s="101">
        <v>18</v>
      </c>
      <c r="S22" s="101">
        <v>0.2</v>
      </c>
      <c r="T22" s="101">
        <v>0.1</v>
      </c>
      <c r="U22" s="101">
        <v>0.1</v>
      </c>
      <c r="V22" s="101">
        <f t="shared" si="0"/>
        <v>30</v>
      </c>
      <c r="W22" s="101">
        <v>40</v>
      </c>
      <c r="X22" s="101">
        <v>1</v>
      </c>
      <c r="Y22" s="101">
        <v>36</v>
      </c>
      <c r="Z22" s="101">
        <v>18</v>
      </c>
      <c r="AA22" s="101" t="s">
        <v>12</v>
      </c>
      <c r="AB22" s="101">
        <f>ROUND((((((Q22+AL22+AM22)/2)*2+((Y22+S22+U22+T22)*X22))/36)/2),2)</f>
        <v>2.5099999999999998</v>
      </c>
      <c r="AC22" s="101">
        <f>ROUND((((((Q22+AL22+AM22)/2)*2+((Y22+S22+U22+T22)*X22))/36)/2),2)</f>
        <v>2.5099999999999998</v>
      </c>
      <c r="AD22" s="101">
        <f t="shared" si="4"/>
        <v>2.1722222222222225</v>
      </c>
      <c r="AE22" s="101">
        <f t="shared" si="1"/>
        <v>17.5</v>
      </c>
      <c r="AF22" s="101">
        <f>2.51*25</f>
        <v>62.749999999999993</v>
      </c>
      <c r="AG22" s="101">
        <f>2.51*25</f>
        <v>62.749999999999993</v>
      </c>
      <c r="AH22" s="101">
        <f>2.51*10</f>
        <v>25.099999999999998</v>
      </c>
      <c r="AI22" s="101" t="s">
        <v>24</v>
      </c>
      <c r="AJ22" s="101">
        <v>10</v>
      </c>
      <c r="AK22" s="101">
        <v>241</v>
      </c>
      <c r="AL22" s="101">
        <v>24</v>
      </c>
      <c r="AM22" s="101">
        <v>24</v>
      </c>
      <c r="AN22" s="101">
        <v>-6</v>
      </c>
      <c r="AO22" s="101" t="s">
        <v>33</v>
      </c>
      <c r="AP22" s="101"/>
      <c r="AQ22" s="101"/>
      <c r="AR22" s="101" t="s">
        <v>158</v>
      </c>
      <c r="AS22" s="19"/>
    </row>
    <row r="23" spans="1:45" ht="75">
      <c r="A23" s="12" t="s">
        <v>67</v>
      </c>
      <c r="B23" s="101" t="s">
        <v>23</v>
      </c>
      <c r="C23" s="101" t="s">
        <v>36</v>
      </c>
      <c r="D23" s="101" t="s">
        <v>24</v>
      </c>
      <c r="E23" s="101" t="s">
        <v>45</v>
      </c>
      <c r="F23" s="101" t="s">
        <v>173</v>
      </c>
      <c r="G23" s="101" t="s">
        <v>37</v>
      </c>
      <c r="H23" s="101" t="s">
        <v>38</v>
      </c>
      <c r="I23" s="101" t="s">
        <v>37</v>
      </c>
      <c r="J23" s="101" t="s">
        <v>38</v>
      </c>
      <c r="K23" s="101" t="s">
        <v>52</v>
      </c>
      <c r="L23" s="101"/>
      <c r="M23" s="101" t="s">
        <v>24</v>
      </c>
      <c r="N23" s="101" t="s">
        <v>37</v>
      </c>
      <c r="O23" s="101" t="s">
        <v>38</v>
      </c>
      <c r="P23" s="101" t="s">
        <v>162</v>
      </c>
      <c r="Q23" s="101">
        <v>96</v>
      </c>
      <c r="R23" s="101">
        <v>18</v>
      </c>
      <c r="S23" s="101">
        <v>0.2</v>
      </c>
      <c r="T23" s="101">
        <v>0.1</v>
      </c>
      <c r="U23" s="101">
        <v>0.1</v>
      </c>
      <c r="V23" s="101">
        <f t="shared" si="0"/>
        <v>30</v>
      </c>
      <c r="W23" s="101">
        <v>40</v>
      </c>
      <c r="X23" s="101">
        <v>1</v>
      </c>
      <c r="Y23" s="101">
        <v>36</v>
      </c>
      <c r="Z23" s="101">
        <v>18</v>
      </c>
      <c r="AA23" s="101" t="s">
        <v>12</v>
      </c>
      <c r="AB23" s="101">
        <f>ROUND((((((Q23+AL23+AM23)/2)*2+((Y23+S23+U23+T23)*X23))/36)/2),2)</f>
        <v>2.5099999999999998</v>
      </c>
      <c r="AC23" s="101">
        <f>ROUND((((((Q23+AL23+AM23)/2)*2+((Y23+S23+U23+T23)*X23))/36)/2),2)</f>
        <v>2.5099999999999998</v>
      </c>
      <c r="AD23" s="101">
        <f t="shared" si="4"/>
        <v>2.1722222222222225</v>
      </c>
      <c r="AE23" s="101">
        <f t="shared" si="1"/>
        <v>17.5</v>
      </c>
      <c r="AF23" s="101">
        <f>2.51*25</f>
        <v>62.749999999999993</v>
      </c>
      <c r="AG23" s="101">
        <f>2.51*25</f>
        <v>62.749999999999993</v>
      </c>
      <c r="AH23" s="101">
        <f>2.51*10</f>
        <v>25.099999999999998</v>
      </c>
      <c r="AI23" s="101" t="s">
        <v>24</v>
      </c>
      <c r="AJ23" s="101">
        <v>10</v>
      </c>
      <c r="AK23" s="101">
        <v>261</v>
      </c>
      <c r="AL23" s="101">
        <v>24</v>
      </c>
      <c r="AM23" s="101">
        <v>24</v>
      </c>
      <c r="AN23" s="101">
        <v>-6</v>
      </c>
      <c r="AO23" s="101" t="s">
        <v>33</v>
      </c>
      <c r="AP23" s="101"/>
      <c r="AQ23" s="101"/>
      <c r="AR23" s="101" t="s">
        <v>158</v>
      </c>
      <c r="AS23" s="19"/>
    </row>
    <row r="24" spans="1:45" ht="75">
      <c r="A24" s="12" t="s">
        <v>67</v>
      </c>
      <c r="B24" s="101" t="s">
        <v>23</v>
      </c>
      <c r="C24" s="101" t="s">
        <v>36</v>
      </c>
      <c r="D24" s="101" t="s">
        <v>24</v>
      </c>
      <c r="E24" s="101" t="s">
        <v>45</v>
      </c>
      <c r="F24" s="101" t="s">
        <v>173</v>
      </c>
      <c r="G24" s="101" t="s">
        <v>37</v>
      </c>
      <c r="H24" s="101" t="s">
        <v>38</v>
      </c>
      <c r="I24" s="101" t="s">
        <v>37</v>
      </c>
      <c r="J24" s="101" t="s">
        <v>38</v>
      </c>
      <c r="K24" s="101" t="s">
        <v>52</v>
      </c>
      <c r="L24" s="101"/>
      <c r="M24" s="101" t="s">
        <v>24</v>
      </c>
      <c r="N24" s="101" t="s">
        <v>37</v>
      </c>
      <c r="O24" s="101" t="s">
        <v>38</v>
      </c>
      <c r="P24" s="101" t="s">
        <v>162</v>
      </c>
      <c r="Q24" s="101">
        <v>109</v>
      </c>
      <c r="R24" s="101">
        <v>18</v>
      </c>
      <c r="S24" s="101">
        <v>0.2</v>
      </c>
      <c r="T24" s="101">
        <v>0.1</v>
      </c>
      <c r="U24" s="101">
        <v>0.1</v>
      </c>
      <c r="V24" s="101">
        <f t="shared" si="0"/>
        <v>36.5</v>
      </c>
      <c r="W24" s="101">
        <v>40</v>
      </c>
      <c r="X24" s="101">
        <v>1</v>
      </c>
      <c r="Y24" s="101">
        <v>36</v>
      </c>
      <c r="Z24" s="101">
        <v>18</v>
      </c>
      <c r="AA24" s="101" t="s">
        <v>12</v>
      </c>
      <c r="AB24" s="101">
        <f>ROUND((((((Q24+AL24+AM24)/2)*2+((Y24+S24+U24+T24)*X24))/36)/2),2)</f>
        <v>2.69</v>
      </c>
      <c r="AC24" s="101">
        <f>ROUND((((((Q24+AL24+AM24)/2)*2+((Y24+S24+U24+T24)*X24))/36)/2),2)</f>
        <v>2.69</v>
      </c>
      <c r="AD24" s="101">
        <f t="shared" si="4"/>
        <v>2.5333333333333332</v>
      </c>
      <c r="AE24" s="101">
        <f t="shared" si="1"/>
        <v>17.5</v>
      </c>
      <c r="AF24" s="101">
        <f>2.69*25</f>
        <v>67.25</v>
      </c>
      <c r="AG24" s="101">
        <f>2.69*25</f>
        <v>67.25</v>
      </c>
      <c r="AH24" s="101">
        <f>2.69*10</f>
        <v>26.9</v>
      </c>
      <c r="AI24" s="101" t="s">
        <v>24</v>
      </c>
      <c r="AJ24" s="101">
        <v>10</v>
      </c>
      <c r="AK24" s="101">
        <v>275</v>
      </c>
      <c r="AL24" s="101">
        <v>24</v>
      </c>
      <c r="AM24" s="101">
        <v>24</v>
      </c>
      <c r="AN24" s="101">
        <v>-6</v>
      </c>
      <c r="AO24" s="101" t="s">
        <v>33</v>
      </c>
      <c r="AP24" s="101"/>
      <c r="AQ24" s="101"/>
      <c r="AR24" s="101" t="s">
        <v>158</v>
      </c>
      <c r="AS24" s="19"/>
    </row>
    <row r="25" spans="1:45" ht="45">
      <c r="A25" s="12" t="s">
        <v>42</v>
      </c>
      <c r="B25" s="101" t="s">
        <v>23</v>
      </c>
      <c r="C25" s="101" t="s">
        <v>175</v>
      </c>
      <c r="D25" s="101" t="s">
        <v>24</v>
      </c>
      <c r="E25" s="101"/>
      <c r="F25" s="101"/>
      <c r="G25" s="101" t="s">
        <v>37</v>
      </c>
      <c r="H25" s="101" t="s">
        <v>38</v>
      </c>
      <c r="I25" s="101"/>
      <c r="J25" s="101"/>
      <c r="K25" s="101" t="s">
        <v>29</v>
      </c>
      <c r="L25" s="101"/>
      <c r="M25" s="101" t="s">
        <v>32</v>
      </c>
      <c r="N25" s="101"/>
      <c r="O25" s="101"/>
      <c r="P25" s="101" t="s">
        <v>162</v>
      </c>
      <c r="Q25" s="101">
        <v>96</v>
      </c>
      <c r="R25" s="101">
        <v>18</v>
      </c>
      <c r="S25" s="101">
        <v>22</v>
      </c>
      <c r="T25" s="101">
        <v>45</v>
      </c>
      <c r="U25" s="101"/>
      <c r="V25" s="101">
        <f>(Q25-(AN25*2))/2</f>
        <v>50</v>
      </c>
      <c r="W25" s="101">
        <v>40</v>
      </c>
      <c r="X25" s="101">
        <v>1</v>
      </c>
      <c r="Y25" s="101">
        <v>25</v>
      </c>
      <c r="Z25" s="101">
        <v>12</v>
      </c>
      <c r="AA25" s="101" t="s">
        <v>12</v>
      </c>
      <c r="AB25" s="101">
        <f>(((((Q25-AN25*2)*2)+(Y25+Z25*4)+(S25+U25*2)*X25)*2/36)/2)*2</f>
        <v>16.388888888888889</v>
      </c>
      <c r="AC25" s="101"/>
      <c r="AD25" s="101" t="e">
        <f>((Q25-AN25*2)*full+(Z25+Y25+S25)*2)*X25/36</f>
        <v>#NAME?</v>
      </c>
      <c r="AE25" s="101">
        <f>ROUND(X25*17.5,2)</f>
        <v>17.5</v>
      </c>
      <c r="AF25" s="101">
        <f>16.3888888888889*25</f>
        <v>409.72222222222251</v>
      </c>
      <c r="AG25" s="101"/>
      <c r="AH25" s="101"/>
      <c r="AI25" s="101" t="s">
        <v>24</v>
      </c>
      <c r="AJ25" s="101">
        <v>16</v>
      </c>
      <c r="AK25" s="101">
        <v>249</v>
      </c>
      <c r="AL25" s="101">
        <v>16</v>
      </c>
      <c r="AM25" s="101">
        <v>16</v>
      </c>
      <c r="AN25" s="101">
        <v>-2</v>
      </c>
      <c r="AO25" s="101" t="s">
        <v>33</v>
      </c>
      <c r="AP25" s="101" t="s">
        <v>146</v>
      </c>
      <c r="AQ25" s="101">
        <v>3.5</v>
      </c>
      <c r="AR25" s="101"/>
      <c r="AS25" s="19"/>
    </row>
    <row r="26" spans="1:45" ht="45">
      <c r="A26" s="12" t="s">
        <v>190</v>
      </c>
      <c r="B26" s="101" t="s">
        <v>23</v>
      </c>
      <c r="C26" s="101" t="s">
        <v>175</v>
      </c>
      <c r="D26" s="101" t="s">
        <v>24</v>
      </c>
      <c r="E26" s="101"/>
      <c r="F26" s="101"/>
      <c r="G26" s="101" t="s">
        <v>37</v>
      </c>
      <c r="H26" s="101" t="s">
        <v>38</v>
      </c>
      <c r="I26" s="101"/>
      <c r="J26" s="101"/>
      <c r="K26" s="101" t="s">
        <v>29</v>
      </c>
      <c r="L26" s="101"/>
      <c r="M26" s="101" t="s">
        <v>32</v>
      </c>
      <c r="N26" s="101"/>
      <c r="O26" s="101"/>
      <c r="P26" s="101" t="s">
        <v>162</v>
      </c>
      <c r="Q26" s="101">
        <v>96</v>
      </c>
      <c r="R26" s="101">
        <v>18</v>
      </c>
      <c r="S26" s="101">
        <v>22</v>
      </c>
      <c r="T26" s="101">
        <v>45</v>
      </c>
      <c r="U26" s="101"/>
      <c r="V26" s="101">
        <f>(Q26-(AN26*2))/2</f>
        <v>46</v>
      </c>
      <c r="W26" s="101">
        <v>40</v>
      </c>
      <c r="X26" s="101">
        <v>1</v>
      </c>
      <c r="Y26" s="101">
        <v>25</v>
      </c>
      <c r="Z26" s="101">
        <v>12</v>
      </c>
      <c r="AA26" s="101" t="s">
        <v>12</v>
      </c>
      <c r="AB26" s="101">
        <f>(((((Q26-AN26*2)*2)+(Y26+Z26*4)+(S26+U26*2)*X26)*2/36)/2)*2</f>
        <v>15.5</v>
      </c>
      <c r="AC26" s="101"/>
      <c r="AD26" s="101"/>
      <c r="AE26" s="101">
        <f>ROUND(X26*17.5,2)</f>
        <v>17.5</v>
      </c>
      <c r="AF26" s="101">
        <f>15.5*25</f>
        <v>387.5</v>
      </c>
      <c r="AG26" s="101"/>
      <c r="AH26" s="101"/>
      <c r="AI26" s="101" t="s">
        <v>24</v>
      </c>
      <c r="AJ26" s="101">
        <v>20</v>
      </c>
      <c r="AK26" s="101">
        <v>241</v>
      </c>
      <c r="AL26" s="101">
        <v>20</v>
      </c>
      <c r="AM26" s="101">
        <v>20</v>
      </c>
      <c r="AN26" s="101">
        <v>2</v>
      </c>
      <c r="AO26" s="101" t="s">
        <v>33</v>
      </c>
      <c r="AP26" s="101" t="s">
        <v>146</v>
      </c>
      <c r="AQ26" s="101">
        <v>3.5</v>
      </c>
      <c r="AR26" s="101"/>
      <c r="AS26" s="19"/>
    </row>
    <row r="27" spans="1:45" ht="45">
      <c r="A27" s="12" t="s">
        <v>190</v>
      </c>
      <c r="B27" s="101" t="s">
        <v>23</v>
      </c>
      <c r="C27" s="101" t="s">
        <v>175</v>
      </c>
      <c r="D27" s="101" t="s">
        <v>24</v>
      </c>
      <c r="E27" s="101"/>
      <c r="F27" s="101"/>
      <c r="G27" s="101" t="s">
        <v>37</v>
      </c>
      <c r="H27" s="101" t="s">
        <v>38</v>
      </c>
      <c r="I27" s="101"/>
      <c r="J27" s="101"/>
      <c r="K27" s="101" t="s">
        <v>191</v>
      </c>
      <c r="L27" s="101"/>
      <c r="M27" s="101" t="s">
        <v>32</v>
      </c>
      <c r="N27" s="101"/>
      <c r="O27" s="101"/>
      <c r="P27" s="101" t="s">
        <v>162</v>
      </c>
      <c r="Q27" s="101">
        <v>96</v>
      </c>
      <c r="R27" s="101">
        <v>18</v>
      </c>
      <c r="S27" s="101">
        <v>22</v>
      </c>
      <c r="T27" s="101">
        <v>45</v>
      </c>
      <c r="U27" s="101"/>
      <c r="V27" s="101">
        <f>(Q27-(AN27*2))/2</f>
        <v>46</v>
      </c>
      <c r="W27" s="101">
        <v>40</v>
      </c>
      <c r="X27" s="101">
        <v>1</v>
      </c>
      <c r="Y27" s="101">
        <v>25</v>
      </c>
      <c r="Z27" s="101">
        <v>12</v>
      </c>
      <c r="AA27" s="101" t="s">
        <v>12</v>
      </c>
      <c r="AB27" s="101"/>
      <c r="AC27" s="101"/>
      <c r="AD27" s="101"/>
      <c r="AE27" s="101">
        <f>ROUND(X27*17.5,2)</f>
        <v>17.5</v>
      </c>
      <c r="AF27" s="101"/>
      <c r="AG27" s="101"/>
      <c r="AH27" s="101"/>
      <c r="AI27" s="101"/>
      <c r="AJ27" s="101"/>
      <c r="AK27" s="101">
        <v>241</v>
      </c>
      <c r="AL27" s="101">
        <v>20</v>
      </c>
      <c r="AM27" s="101">
        <v>20</v>
      </c>
      <c r="AN27" s="101">
        <v>2</v>
      </c>
      <c r="AO27" s="101" t="s">
        <v>33</v>
      </c>
      <c r="AP27" s="101"/>
      <c r="AQ27" s="101"/>
      <c r="AR27" s="101"/>
      <c r="AS27" s="19"/>
    </row>
    <row r="28" spans="1:45" ht="45">
      <c r="A28" s="12" t="s">
        <v>67</v>
      </c>
      <c r="B28" s="101" t="s">
        <v>23</v>
      </c>
      <c r="C28" s="101" t="s">
        <v>36</v>
      </c>
      <c r="D28" s="101" t="s">
        <v>24</v>
      </c>
      <c r="E28" s="101"/>
      <c r="F28" s="101"/>
      <c r="G28" s="101" t="s">
        <v>37</v>
      </c>
      <c r="H28" s="101" t="s">
        <v>38</v>
      </c>
      <c r="I28" s="101"/>
      <c r="J28" s="101"/>
      <c r="K28" s="101" t="s">
        <v>191</v>
      </c>
      <c r="L28" s="101"/>
      <c r="M28" s="101" t="s">
        <v>32</v>
      </c>
      <c r="N28" s="101"/>
      <c r="O28" s="101"/>
      <c r="P28" s="101" t="s">
        <v>162</v>
      </c>
      <c r="Q28" s="101">
        <v>96</v>
      </c>
      <c r="R28" s="101">
        <v>18</v>
      </c>
      <c r="S28" s="101">
        <v>0.2</v>
      </c>
      <c r="T28" s="101">
        <v>0.1</v>
      </c>
      <c r="U28" s="101">
        <v>0.1</v>
      </c>
      <c r="V28" s="101">
        <f>(Q28-(R28*2))/2</f>
        <v>30</v>
      </c>
      <c r="W28" s="101">
        <v>40</v>
      </c>
      <c r="X28" s="101">
        <v>1</v>
      </c>
      <c r="Y28" s="101">
        <v>36</v>
      </c>
      <c r="Z28" s="101">
        <v>18</v>
      </c>
      <c r="AA28" s="101" t="s">
        <v>12</v>
      </c>
      <c r="AB28" s="101"/>
      <c r="AC28" s="101"/>
      <c r="AD28" s="101"/>
      <c r="AE28" s="101">
        <f>ROUND(X28*17.5,2)</f>
        <v>17.5</v>
      </c>
      <c r="AF28" s="101"/>
      <c r="AG28" s="101"/>
      <c r="AH28" s="101"/>
      <c r="AI28" s="101"/>
      <c r="AJ28" s="101"/>
      <c r="AK28" s="101">
        <v>241</v>
      </c>
      <c r="AL28" s="101">
        <v>15</v>
      </c>
      <c r="AM28" s="101">
        <v>15</v>
      </c>
      <c r="AN28" s="101">
        <v>3</v>
      </c>
      <c r="AO28" s="101" t="s">
        <v>33</v>
      </c>
      <c r="AP28" s="101"/>
      <c r="AQ28" s="101"/>
      <c r="AR28" s="101"/>
      <c r="AS28" s="19"/>
    </row>
    <row r="29" spans="1:45" ht="45">
      <c r="A29" s="12" t="s">
        <v>67</v>
      </c>
      <c r="B29" s="101" t="s">
        <v>23</v>
      </c>
      <c r="C29" s="101" t="s">
        <v>175</v>
      </c>
      <c r="D29" s="101" t="s">
        <v>24</v>
      </c>
      <c r="E29" s="101"/>
      <c r="F29" s="101"/>
      <c r="G29" s="101" t="s">
        <v>37</v>
      </c>
      <c r="H29" s="101" t="s">
        <v>38</v>
      </c>
      <c r="I29" s="101"/>
      <c r="J29" s="101"/>
      <c r="K29" s="101" t="s">
        <v>191</v>
      </c>
      <c r="L29" s="101"/>
      <c r="M29" s="101" t="s">
        <v>32</v>
      </c>
      <c r="N29" s="101"/>
      <c r="O29" s="101"/>
      <c r="P29" s="101" t="s">
        <v>162</v>
      </c>
      <c r="Q29" s="101">
        <v>96</v>
      </c>
      <c r="R29" s="101">
        <v>18</v>
      </c>
      <c r="S29" s="101">
        <v>22</v>
      </c>
      <c r="T29" s="101">
        <v>45</v>
      </c>
      <c r="U29" s="101"/>
      <c r="V29" s="101">
        <f>(Q29-(AN29*2))/2</f>
        <v>46</v>
      </c>
      <c r="W29" s="101">
        <v>40</v>
      </c>
      <c r="X29" s="101">
        <v>1</v>
      </c>
      <c r="Y29" s="101">
        <v>25</v>
      </c>
      <c r="Z29" s="101">
        <v>12</v>
      </c>
      <c r="AA29" s="101" t="s">
        <v>12</v>
      </c>
      <c r="AB29" s="101"/>
      <c r="AC29" s="101"/>
      <c r="AD29" s="101"/>
      <c r="AE29" s="101"/>
      <c r="AF29" s="101"/>
      <c r="AG29" s="101"/>
      <c r="AH29" s="101"/>
      <c r="AI29" s="101"/>
      <c r="AJ29" s="101"/>
      <c r="AK29" s="101">
        <v>241</v>
      </c>
      <c r="AL29" s="101">
        <v>20</v>
      </c>
      <c r="AM29" s="101">
        <v>20</v>
      </c>
      <c r="AN29" s="101">
        <v>2</v>
      </c>
      <c r="AO29" s="101" t="s">
        <v>33</v>
      </c>
      <c r="AP29" s="101"/>
      <c r="AQ29" s="101"/>
      <c r="AR29" s="101"/>
      <c r="AS29" s="19"/>
    </row>
    <row r="30" spans="1:45" ht="45">
      <c r="A30" s="121" t="s">
        <v>67</v>
      </c>
      <c r="B30" s="102" t="s">
        <v>23</v>
      </c>
      <c r="C30" s="102" t="s">
        <v>36</v>
      </c>
      <c r="D30" s="102" t="s">
        <v>24</v>
      </c>
      <c r="E30" s="102"/>
      <c r="F30" s="102"/>
      <c r="G30" s="102" t="s">
        <v>37</v>
      </c>
      <c r="H30" s="102" t="s">
        <v>38</v>
      </c>
      <c r="I30" s="102"/>
      <c r="J30" s="102"/>
      <c r="K30" s="102" t="s">
        <v>191</v>
      </c>
      <c r="L30" s="102"/>
      <c r="M30" s="102" t="s">
        <v>32</v>
      </c>
      <c r="N30" s="102"/>
      <c r="O30" s="102"/>
      <c r="P30" s="102" t="s">
        <v>162</v>
      </c>
      <c r="Q30" s="102">
        <v>96</v>
      </c>
      <c r="R30" s="102">
        <v>18</v>
      </c>
      <c r="S30" s="102">
        <v>0.2</v>
      </c>
      <c r="T30" s="102">
        <v>0.1</v>
      </c>
      <c r="U30" s="102">
        <v>0.1</v>
      </c>
      <c r="V30" s="102">
        <f>(Q30-(R30*2))/2</f>
        <v>30</v>
      </c>
      <c r="W30" s="102">
        <v>40</v>
      </c>
      <c r="X30" s="102">
        <v>1</v>
      </c>
      <c r="Y30" s="102">
        <v>36</v>
      </c>
      <c r="Z30" s="102">
        <v>18</v>
      </c>
      <c r="AA30" s="102" t="s">
        <v>12</v>
      </c>
      <c r="AB30" s="102"/>
      <c r="AC30" s="102"/>
      <c r="AD30" s="102"/>
      <c r="AE30" s="102"/>
      <c r="AF30" s="102"/>
      <c r="AG30" s="102"/>
      <c r="AH30" s="102"/>
      <c r="AI30" s="102"/>
      <c r="AJ30" s="102"/>
      <c r="AK30" s="102">
        <v>241</v>
      </c>
      <c r="AL30" s="102">
        <v>25</v>
      </c>
      <c r="AM30" s="102">
        <v>25</v>
      </c>
      <c r="AN30" s="102">
        <v>-7</v>
      </c>
      <c r="AO30" s="102" t="s">
        <v>33</v>
      </c>
      <c r="AP30" s="102"/>
      <c r="AQ30" s="102"/>
      <c r="AR30" s="102"/>
      <c r="AS30" s="122"/>
    </row>
    <row r="31" spans="1:45" ht="45">
      <c r="A31" s="101" t="s">
        <v>67</v>
      </c>
      <c r="B31" s="101" t="s">
        <v>23</v>
      </c>
      <c r="C31" s="101" t="s">
        <v>36</v>
      </c>
      <c r="D31" s="101" t="s">
        <v>24</v>
      </c>
      <c r="E31" s="101"/>
      <c r="F31" s="101"/>
      <c r="G31" s="101" t="s">
        <v>37</v>
      </c>
      <c r="H31" s="101" t="s">
        <v>38</v>
      </c>
      <c r="I31" s="101"/>
      <c r="J31" s="101"/>
      <c r="K31" s="101" t="s">
        <v>191</v>
      </c>
      <c r="L31" s="101"/>
      <c r="M31" s="101" t="s">
        <v>32</v>
      </c>
      <c r="N31" s="101"/>
      <c r="O31" s="101"/>
      <c r="P31" s="101" t="s">
        <v>162</v>
      </c>
      <c r="Q31" s="101">
        <v>96</v>
      </c>
      <c r="R31" s="101">
        <v>18</v>
      </c>
      <c r="S31" s="101">
        <v>0.2</v>
      </c>
      <c r="T31" s="101">
        <v>0.1</v>
      </c>
      <c r="U31" s="101">
        <v>0.1</v>
      </c>
      <c r="V31" s="101">
        <f>(Q31-(R31*2))/2</f>
        <v>30</v>
      </c>
      <c r="W31" s="101">
        <v>40</v>
      </c>
      <c r="X31" s="101">
        <v>1</v>
      </c>
      <c r="Y31" s="101">
        <v>36</v>
      </c>
      <c r="Z31" s="101">
        <v>18</v>
      </c>
      <c r="AA31" s="101" t="s">
        <v>12</v>
      </c>
      <c r="AB31" s="101"/>
      <c r="AC31" s="101"/>
      <c r="AD31" s="101"/>
      <c r="AE31" s="101"/>
      <c r="AF31" s="101"/>
      <c r="AG31" s="101"/>
      <c r="AH31" s="101"/>
      <c r="AI31" s="101"/>
      <c r="AJ31" s="101"/>
      <c r="AK31" s="101">
        <v>241</v>
      </c>
      <c r="AL31" s="101">
        <v>15</v>
      </c>
      <c r="AM31" s="101">
        <v>15</v>
      </c>
      <c r="AN31" s="101">
        <v>3</v>
      </c>
      <c r="AO31" s="101" t="s">
        <v>33</v>
      </c>
      <c r="AP31" s="101"/>
      <c r="AQ31" s="101"/>
      <c r="AR31" s="101"/>
      <c r="AS31" s="101"/>
    </row>
    <row r="32" spans="1:45" ht="45">
      <c r="A32" s="101" t="s">
        <v>67</v>
      </c>
      <c r="B32" s="101" t="s">
        <v>23</v>
      </c>
      <c r="C32" s="101" t="s">
        <v>36</v>
      </c>
      <c r="D32" s="101" t="s">
        <v>24</v>
      </c>
      <c r="E32" s="101"/>
      <c r="F32" s="101"/>
      <c r="G32" s="101" t="s">
        <v>37</v>
      </c>
      <c r="H32" s="101" t="s">
        <v>38</v>
      </c>
      <c r="I32" s="101"/>
      <c r="J32" s="101"/>
      <c r="K32" s="101" t="s">
        <v>191</v>
      </c>
      <c r="L32" s="101"/>
      <c r="M32" s="101" t="s">
        <v>32</v>
      </c>
      <c r="N32" s="101"/>
      <c r="O32" s="101"/>
      <c r="P32" s="101" t="s">
        <v>162</v>
      </c>
      <c r="Q32" s="101">
        <v>96</v>
      </c>
      <c r="R32" s="101">
        <v>18</v>
      </c>
      <c r="S32" s="101">
        <v>0.2</v>
      </c>
      <c r="T32" s="101">
        <v>0.1</v>
      </c>
      <c r="U32" s="101">
        <v>0.1</v>
      </c>
      <c r="V32" s="101">
        <f>(Q32-(R32*2))/2</f>
        <v>30</v>
      </c>
      <c r="W32" s="101">
        <v>40</v>
      </c>
      <c r="X32" s="101">
        <v>1</v>
      </c>
      <c r="Y32" s="101">
        <v>36</v>
      </c>
      <c r="Z32" s="101">
        <v>18</v>
      </c>
      <c r="AA32" s="101" t="s">
        <v>12</v>
      </c>
      <c r="AB32" s="101">
        <f>ROUND((((((Q32+AL32+AM32)/2)*2+((Y32+S32+U32+T32)*X32))/36)/2),2)</f>
        <v>2.2599999999999998</v>
      </c>
      <c r="AC32" s="101"/>
      <c r="AD32" s="101"/>
      <c r="AE32" s="101">
        <f>ROUND(X32*17.5,2)</f>
        <v>17.5</v>
      </c>
      <c r="AF32" s="101">
        <f>2.26*25</f>
        <v>56.499999999999993</v>
      </c>
      <c r="AG32" s="101"/>
      <c r="AH32" s="101"/>
      <c r="AI32" s="101" t="s">
        <v>24</v>
      </c>
      <c r="AJ32" s="101">
        <v>20</v>
      </c>
      <c r="AK32" s="101">
        <v>241</v>
      </c>
      <c r="AL32" s="101">
        <v>15</v>
      </c>
      <c r="AM32" s="101">
        <v>15</v>
      </c>
      <c r="AN32" s="101">
        <v>3</v>
      </c>
      <c r="AO32" s="101" t="s">
        <v>33</v>
      </c>
      <c r="AP32" s="101" t="s">
        <v>146</v>
      </c>
      <c r="AQ32" s="101">
        <v>3.5</v>
      </c>
      <c r="AR32" s="101"/>
      <c r="AS32" s="101"/>
    </row>
    <row r="33" spans="1:45" ht="45">
      <c r="A33" s="101" t="s">
        <v>67</v>
      </c>
      <c r="B33" s="101" t="s">
        <v>23</v>
      </c>
      <c r="C33" s="101" t="s">
        <v>36</v>
      </c>
      <c r="D33" s="101" t="s">
        <v>24</v>
      </c>
      <c r="E33" s="101"/>
      <c r="F33" s="101"/>
      <c r="G33" s="101" t="s">
        <v>37</v>
      </c>
      <c r="H33" s="101" t="s">
        <v>38</v>
      </c>
      <c r="I33" s="101"/>
      <c r="J33" s="101"/>
      <c r="K33" s="101" t="s">
        <v>29</v>
      </c>
      <c r="L33" s="101"/>
      <c r="M33" s="101" t="s">
        <v>32</v>
      </c>
      <c r="N33" s="101"/>
      <c r="O33" s="101"/>
      <c r="P33" s="101" t="s">
        <v>162</v>
      </c>
      <c r="Q33" s="101">
        <v>96</v>
      </c>
      <c r="R33" s="101">
        <v>18</v>
      </c>
      <c r="S33" s="101">
        <v>0.2</v>
      </c>
      <c r="T33" s="101">
        <v>0.1</v>
      </c>
      <c r="U33" s="101">
        <v>0.1</v>
      </c>
      <c r="V33" s="101">
        <f>(Q33-(R33*2))/2</f>
        <v>30</v>
      </c>
      <c r="W33" s="101">
        <v>40</v>
      </c>
      <c r="X33" s="101">
        <v>1</v>
      </c>
      <c r="Y33" s="101">
        <v>36</v>
      </c>
      <c r="Z33" s="101">
        <v>18</v>
      </c>
      <c r="AA33" s="101" t="s">
        <v>12</v>
      </c>
      <c r="AB33" s="101">
        <f>(((((Q33+AL33+AM33)/2)*2+((Y33+S33+U33+T33)*X33))/36)/2)*2</f>
        <v>4.5111111111111111</v>
      </c>
      <c r="AC33" s="101"/>
      <c r="AD33" s="101"/>
      <c r="AE33" s="101">
        <f>ROUND(X33*17.5,2)</f>
        <v>17.5</v>
      </c>
      <c r="AF33" s="101">
        <f>4.51111111111111*25</f>
        <v>112.77777777777776</v>
      </c>
      <c r="AG33" s="101"/>
      <c r="AH33" s="101"/>
      <c r="AI33" s="101" t="s">
        <v>24</v>
      </c>
      <c r="AJ33" s="101">
        <v>20</v>
      </c>
      <c r="AK33" s="101">
        <v>241</v>
      </c>
      <c r="AL33" s="101">
        <v>15</v>
      </c>
      <c r="AM33" s="101">
        <v>15</v>
      </c>
      <c r="AN33" s="101">
        <v>3</v>
      </c>
      <c r="AO33" s="101" t="s">
        <v>33</v>
      </c>
      <c r="AP33" s="101" t="s">
        <v>146</v>
      </c>
      <c r="AQ33" s="101">
        <v>3.5</v>
      </c>
      <c r="AR33" s="101"/>
      <c r="AS33" s="101"/>
    </row>
    <row r="34" spans="1:45" ht="75">
      <c r="A34" s="101" t="s">
        <v>67</v>
      </c>
      <c r="B34" s="101" t="s">
        <v>23</v>
      </c>
      <c r="C34" s="101" t="s">
        <v>36</v>
      </c>
      <c r="D34" s="101" t="s">
        <v>24</v>
      </c>
      <c r="E34" s="101" t="s">
        <v>45</v>
      </c>
      <c r="F34" s="101" t="s">
        <v>46</v>
      </c>
      <c r="G34" s="101" t="s">
        <v>37</v>
      </c>
      <c r="H34" s="101" t="s">
        <v>38</v>
      </c>
      <c r="I34" s="101" t="s">
        <v>37</v>
      </c>
      <c r="J34" s="101" t="s">
        <v>38</v>
      </c>
      <c r="K34" s="101" t="s">
        <v>29</v>
      </c>
      <c r="L34" s="101"/>
      <c r="M34" s="101" t="s">
        <v>32</v>
      </c>
      <c r="N34" s="101"/>
      <c r="O34" s="101"/>
      <c r="P34" s="101" t="s">
        <v>162</v>
      </c>
      <c r="Q34" s="101">
        <v>96</v>
      </c>
      <c r="R34" s="101">
        <v>18</v>
      </c>
      <c r="S34" s="101">
        <v>0.2</v>
      </c>
      <c r="T34" s="101">
        <v>0.1</v>
      </c>
      <c r="U34" s="101">
        <v>0.1</v>
      </c>
      <c r="V34" s="101">
        <f>(Q34-(R34*2))/2</f>
        <v>30</v>
      </c>
      <c r="W34" s="101">
        <v>40</v>
      </c>
      <c r="X34" s="101">
        <v>1</v>
      </c>
      <c r="Y34" s="101">
        <v>36</v>
      </c>
      <c r="Z34" s="101">
        <v>18</v>
      </c>
      <c r="AA34" s="101" t="s">
        <v>12</v>
      </c>
      <c r="AB34" s="101">
        <f>ROUND((((((Q34+AL34+AM34)/2)*2+((Y34+S34+U34+T34)*X34))/36)/2)*2,2)</f>
        <v>4.51</v>
      </c>
      <c r="AC34" s="101">
        <f>ROUND((((((Q34+AL34+AM34)/2)*2+((Y34+S34+U34+T34)*X34))/36)/2)*2,2)</f>
        <v>4.51</v>
      </c>
      <c r="AD34" s="101"/>
      <c r="AE34" s="101">
        <f>ROUND(X34*17.5,2)</f>
        <v>17.5</v>
      </c>
      <c r="AF34" s="101">
        <f>4.51*25</f>
        <v>112.75</v>
      </c>
      <c r="AG34" s="101">
        <f>4.51*25</f>
        <v>112.75</v>
      </c>
      <c r="AH34" s="101"/>
      <c r="AI34" s="101" t="s">
        <v>24</v>
      </c>
      <c r="AJ34" s="101">
        <v>20</v>
      </c>
      <c r="AK34" s="101">
        <v>241</v>
      </c>
      <c r="AL34" s="101">
        <v>15</v>
      </c>
      <c r="AM34" s="101">
        <v>15</v>
      </c>
      <c r="AN34" s="101">
        <v>3</v>
      </c>
      <c r="AO34" s="101" t="s">
        <v>33</v>
      </c>
      <c r="AP34" s="101" t="s">
        <v>146</v>
      </c>
      <c r="AQ34" s="101">
        <v>3.5</v>
      </c>
      <c r="AR34" s="101" t="s">
        <v>158</v>
      </c>
      <c r="AS34" s="101"/>
    </row>
    <row r="35" spans="1:45" ht="45">
      <c r="A35" s="101" t="s">
        <v>67</v>
      </c>
      <c r="B35" s="101" t="s">
        <v>23</v>
      </c>
      <c r="C35" s="101" t="s">
        <v>175</v>
      </c>
      <c r="D35" s="101" t="s">
        <v>24</v>
      </c>
      <c r="E35" s="101"/>
      <c r="F35" s="101"/>
      <c r="G35" s="101" t="s">
        <v>37</v>
      </c>
      <c r="H35" s="101" t="s">
        <v>38</v>
      </c>
      <c r="I35" s="101"/>
      <c r="J35" s="101"/>
      <c r="K35" s="101" t="s">
        <v>191</v>
      </c>
      <c r="L35" s="101"/>
      <c r="M35" s="101" t="s">
        <v>32</v>
      </c>
      <c r="N35" s="101"/>
      <c r="O35" s="101"/>
      <c r="P35" s="101" t="s">
        <v>162</v>
      </c>
      <c r="Q35" s="101">
        <v>96</v>
      </c>
      <c r="R35" s="101">
        <v>18</v>
      </c>
      <c r="S35" s="101">
        <v>22</v>
      </c>
      <c r="T35" s="101">
        <v>45</v>
      </c>
      <c r="U35" s="101"/>
      <c r="V35" s="101">
        <f>(Q35-(AN35*2))/2</f>
        <v>45</v>
      </c>
      <c r="W35" s="101">
        <v>40</v>
      </c>
      <c r="X35" s="101">
        <v>1</v>
      </c>
      <c r="Y35" s="101">
        <v>25</v>
      </c>
      <c r="Z35" s="101">
        <v>12</v>
      </c>
      <c r="AA35" s="101" t="s">
        <v>12</v>
      </c>
      <c r="AB35" s="101">
        <f>((((Q35-AN35*2)*2)+(Y35+Z35*4)+(S35+U35*2)*X35)*2/36)/2</f>
        <v>7.6388888888888893</v>
      </c>
      <c r="AC35" s="101"/>
      <c r="AD35" s="101"/>
      <c r="AE35" s="101">
        <f>ROUND(X35*17.5,2)</f>
        <v>17.5</v>
      </c>
      <c r="AF35" s="101">
        <f>7.63888888888889*25</f>
        <v>190.97222222222226</v>
      </c>
      <c r="AG35" s="101"/>
      <c r="AH35" s="101"/>
      <c r="AI35" s="101" t="s">
        <v>24</v>
      </c>
      <c r="AJ35" s="101">
        <v>20</v>
      </c>
      <c r="AK35" s="101">
        <v>241</v>
      </c>
      <c r="AL35" s="101">
        <v>15</v>
      </c>
      <c r="AM35" s="101">
        <v>15</v>
      </c>
      <c r="AN35" s="101">
        <v>3</v>
      </c>
      <c r="AO35" s="101" t="s">
        <v>33</v>
      </c>
      <c r="AP35" s="101" t="s">
        <v>146</v>
      </c>
      <c r="AQ35" s="101">
        <v>3.5</v>
      </c>
      <c r="AR35" s="101"/>
      <c r="AS35" s="101"/>
    </row>
    <row r="36" spans="1:45" ht="75">
      <c r="A36" s="101" t="s">
        <v>67</v>
      </c>
      <c r="B36" s="101" t="s">
        <v>23</v>
      </c>
      <c r="C36" s="101" t="s">
        <v>175</v>
      </c>
      <c r="D36" s="101" t="s">
        <v>24</v>
      </c>
      <c r="E36" s="101" t="s">
        <v>45</v>
      </c>
      <c r="F36" s="101" t="s">
        <v>46</v>
      </c>
      <c r="G36" s="101" t="s">
        <v>37</v>
      </c>
      <c r="H36" s="101" t="s">
        <v>38</v>
      </c>
      <c r="I36" s="101" t="s">
        <v>37</v>
      </c>
      <c r="J36" s="101" t="s">
        <v>38</v>
      </c>
      <c r="K36" s="101" t="s">
        <v>191</v>
      </c>
      <c r="L36" s="101"/>
      <c r="M36" s="101" t="s">
        <v>32</v>
      </c>
      <c r="N36" s="101"/>
      <c r="O36" s="101"/>
      <c r="P36" s="101" t="s">
        <v>162</v>
      </c>
      <c r="Q36" s="101">
        <v>96</v>
      </c>
      <c r="R36" s="101">
        <v>18</v>
      </c>
      <c r="S36" s="101">
        <v>22</v>
      </c>
      <c r="T36" s="101">
        <v>45</v>
      </c>
      <c r="U36" s="101"/>
      <c r="V36" s="101">
        <f>(Q36-(AN36*2))/2</f>
        <v>45</v>
      </c>
      <c r="W36" s="101">
        <v>40</v>
      </c>
      <c r="X36" s="101">
        <v>1</v>
      </c>
      <c r="Y36" s="101">
        <v>25</v>
      </c>
      <c r="Z36" s="101">
        <v>12</v>
      </c>
      <c r="AA36" s="101" t="s">
        <v>12</v>
      </c>
      <c r="AB36" s="101">
        <f>((((Q36-AN36*2)*2)+(Y36+Z36*4)+(S36+U36*2)*X36)*2/36)/2</f>
        <v>7.6388888888888893</v>
      </c>
      <c r="AC36" s="101">
        <f>((((Q36-AN36*2)*2)+(Y36+Z36*4)+(S36+U36*2)*X36)*2/36)/2</f>
        <v>7.6388888888888893</v>
      </c>
      <c r="AD36" s="101"/>
      <c r="AE36" s="101">
        <f>ROUND(X36*17.5,2)</f>
        <v>17.5</v>
      </c>
      <c r="AF36" s="101">
        <f>7.63888888888889*25</f>
        <v>190.97222222222226</v>
      </c>
      <c r="AG36" s="101">
        <f>7.63888888888889*25</f>
        <v>190.97222222222226</v>
      </c>
      <c r="AH36" s="101"/>
      <c r="AI36" s="101" t="s">
        <v>24</v>
      </c>
      <c r="AJ36" s="101">
        <v>20</v>
      </c>
      <c r="AK36" s="101">
        <v>241</v>
      </c>
      <c r="AL36" s="101">
        <v>15</v>
      </c>
      <c r="AM36" s="101">
        <v>15</v>
      </c>
      <c r="AN36" s="101">
        <v>3</v>
      </c>
      <c r="AO36" s="101" t="s">
        <v>33</v>
      </c>
      <c r="AP36" s="101" t="s">
        <v>146</v>
      </c>
      <c r="AQ36" s="101">
        <v>3.5</v>
      </c>
      <c r="AR36" s="101" t="s">
        <v>158</v>
      </c>
      <c r="AS36" s="101"/>
    </row>
    <row r="37" spans="1:45" ht="75">
      <c r="A37" s="101" t="s">
        <v>67</v>
      </c>
      <c r="B37" s="101" t="s">
        <v>23</v>
      </c>
      <c r="C37" s="101" t="s">
        <v>175</v>
      </c>
      <c r="D37" s="101" t="s">
        <v>24</v>
      </c>
      <c r="E37" s="101" t="s">
        <v>45</v>
      </c>
      <c r="F37" s="101" t="s">
        <v>51</v>
      </c>
      <c r="G37" s="101" t="s">
        <v>37</v>
      </c>
      <c r="H37" s="101" t="s">
        <v>38</v>
      </c>
      <c r="I37" s="101" t="s">
        <v>37</v>
      </c>
      <c r="J37" s="101" t="s">
        <v>38</v>
      </c>
      <c r="K37" s="101" t="s">
        <v>191</v>
      </c>
      <c r="L37" s="101"/>
      <c r="M37" s="101" t="s">
        <v>32</v>
      </c>
      <c r="N37" s="101"/>
      <c r="O37" s="101"/>
      <c r="P37" s="101" t="s">
        <v>162</v>
      </c>
      <c r="Q37" s="101">
        <v>96</v>
      </c>
      <c r="R37" s="101">
        <v>18</v>
      </c>
      <c r="S37" s="101">
        <v>22</v>
      </c>
      <c r="T37" s="101">
        <v>45</v>
      </c>
      <c r="U37" s="101"/>
      <c r="V37" s="101">
        <f>(Q37-(AN37*2))/2</f>
        <v>45</v>
      </c>
      <c r="W37" s="101">
        <v>40</v>
      </c>
      <c r="X37" s="101">
        <v>1</v>
      </c>
      <c r="Y37" s="101">
        <v>25</v>
      </c>
      <c r="Z37" s="101">
        <v>12</v>
      </c>
      <c r="AA37" s="101" t="s">
        <v>12</v>
      </c>
      <c r="AB37" s="101">
        <f>(((((Q37-AN37*2)*2)+(Y37+Z37*4)+(S37+U37*2)*X37)*2/36)/2)/2</f>
        <v>3.8194444444444446</v>
      </c>
      <c r="AC37" s="101">
        <f>(((((Q37-AN37*2)*2)+(Y37+Z37*4)+(S37+U37*2)*X37)*2/36)/2)/2</f>
        <v>3.8194444444444446</v>
      </c>
      <c r="AD37" s="101"/>
      <c r="AE37" s="101">
        <f>ROUND(X37*17.5,2)</f>
        <v>17.5</v>
      </c>
      <c r="AF37" s="101">
        <f>3.81944444444444*25</f>
        <v>95.486111111111001</v>
      </c>
      <c r="AG37" s="101">
        <f>3.81944444444444*25</f>
        <v>95.486111111111001</v>
      </c>
      <c r="AH37" s="101"/>
      <c r="AI37" s="101" t="s">
        <v>24</v>
      </c>
      <c r="AJ37" s="101">
        <v>20</v>
      </c>
      <c r="AK37" s="101">
        <v>241</v>
      </c>
      <c r="AL37" s="101">
        <v>15</v>
      </c>
      <c r="AM37" s="101">
        <v>15</v>
      </c>
      <c r="AN37" s="101">
        <v>3</v>
      </c>
      <c r="AO37" s="101" t="s">
        <v>33</v>
      </c>
      <c r="AP37" s="101" t="s">
        <v>146</v>
      </c>
      <c r="AQ37" s="101">
        <v>3.5</v>
      </c>
      <c r="AR37" s="101" t="s">
        <v>158</v>
      </c>
      <c r="AS37" s="101"/>
    </row>
    <row r="38" spans="1:45" ht="75">
      <c r="A38" s="101" t="s">
        <v>67</v>
      </c>
      <c r="B38" s="101" t="s">
        <v>23</v>
      </c>
      <c r="C38" s="101" t="s">
        <v>175</v>
      </c>
      <c r="D38" s="101" t="s">
        <v>24</v>
      </c>
      <c r="E38" s="101" t="s">
        <v>45</v>
      </c>
      <c r="F38" s="101" t="s">
        <v>55</v>
      </c>
      <c r="G38" s="101" t="s">
        <v>37</v>
      </c>
      <c r="H38" s="101" t="s">
        <v>38</v>
      </c>
      <c r="I38" s="101" t="s">
        <v>37</v>
      </c>
      <c r="J38" s="101" t="s">
        <v>38</v>
      </c>
      <c r="K38" s="101" t="s">
        <v>191</v>
      </c>
      <c r="L38" s="101"/>
      <c r="M38" s="101" t="s">
        <v>32</v>
      </c>
      <c r="N38" s="101"/>
      <c r="O38" s="101"/>
      <c r="P38" s="101" t="s">
        <v>162</v>
      </c>
      <c r="Q38" s="101">
        <v>96</v>
      </c>
      <c r="R38" s="101">
        <v>18</v>
      </c>
      <c r="S38" s="101">
        <v>22</v>
      </c>
      <c r="T38" s="101">
        <v>45</v>
      </c>
      <c r="U38" s="101"/>
      <c r="V38" s="101">
        <f>(Q38-(AN38*2))/2</f>
        <v>45</v>
      </c>
      <c r="W38" s="101">
        <v>40</v>
      </c>
      <c r="X38" s="101">
        <v>1</v>
      </c>
      <c r="Y38" s="101">
        <v>25</v>
      </c>
      <c r="Z38" s="101">
        <v>12</v>
      </c>
      <c r="AA38" s="101" t="s">
        <v>12</v>
      </c>
      <c r="AB38" s="101">
        <f>(((((Q38-AN38*2)*2)+(Y38+Z38*4)+(S38+U38*2)*1)*2/36)/2)/2</f>
        <v>3.8194444444444446</v>
      </c>
      <c r="AC38" s="101">
        <f>(((((Q38-AN38*2)*2)+(Y38+Z38*4)+(S38+U38*2)*1)*2/36)/2)/2</f>
        <v>3.8194444444444446</v>
      </c>
      <c r="AD38" s="101"/>
      <c r="AE38" s="101">
        <f>ROUND(X38*17.5,2)</f>
        <v>17.5</v>
      </c>
      <c r="AF38" s="101">
        <f>3.81944444444444*25</f>
        <v>95.486111111111001</v>
      </c>
      <c r="AG38" s="101">
        <f>3.81944444444444*25</f>
        <v>95.486111111111001</v>
      </c>
      <c r="AH38" s="101"/>
      <c r="AI38" s="101" t="s">
        <v>24</v>
      </c>
      <c r="AJ38" s="101">
        <v>20</v>
      </c>
      <c r="AK38" s="101">
        <v>241</v>
      </c>
      <c r="AL38" s="101">
        <v>15</v>
      </c>
      <c r="AM38" s="101">
        <v>15</v>
      </c>
      <c r="AN38" s="101">
        <v>3</v>
      </c>
      <c r="AO38" s="101" t="s">
        <v>33</v>
      </c>
      <c r="AP38" s="101" t="s">
        <v>146</v>
      </c>
      <c r="AQ38" s="101">
        <v>3.5</v>
      </c>
      <c r="AR38" s="101" t="s">
        <v>158</v>
      </c>
      <c r="AS38" s="101"/>
    </row>
    <row r="39" spans="1:45" ht="75">
      <c r="A39" s="101" t="s">
        <v>67</v>
      </c>
      <c r="B39" s="101" t="s">
        <v>23</v>
      </c>
      <c r="C39" s="101" t="s">
        <v>175</v>
      </c>
      <c r="D39" s="101" t="s">
        <v>24</v>
      </c>
      <c r="E39" s="101" t="s">
        <v>45</v>
      </c>
      <c r="F39" s="101" t="s">
        <v>51</v>
      </c>
      <c r="G39" s="101" t="s">
        <v>37</v>
      </c>
      <c r="H39" s="101" t="s">
        <v>38</v>
      </c>
      <c r="I39" s="101" t="s">
        <v>37</v>
      </c>
      <c r="J39" s="101" t="s">
        <v>38</v>
      </c>
      <c r="K39" s="101" t="s">
        <v>191</v>
      </c>
      <c r="L39" s="101"/>
      <c r="M39" s="101" t="s">
        <v>32</v>
      </c>
      <c r="N39" s="101"/>
      <c r="O39" s="101"/>
      <c r="P39" s="101" t="s">
        <v>162</v>
      </c>
      <c r="Q39" s="101">
        <v>96</v>
      </c>
      <c r="R39" s="101">
        <v>18</v>
      </c>
      <c r="S39" s="101">
        <v>22</v>
      </c>
      <c r="T39" s="101">
        <v>45</v>
      </c>
      <c r="U39" s="101"/>
      <c r="V39" s="101">
        <f>(Q39-(AN39*2))/2</f>
        <v>45</v>
      </c>
      <c r="W39" s="101">
        <v>40</v>
      </c>
      <c r="X39" s="101">
        <v>1</v>
      </c>
      <c r="Y39" s="101">
        <v>25</v>
      </c>
      <c r="Z39" s="101">
        <v>12</v>
      </c>
      <c r="AA39" s="101" t="s">
        <v>12</v>
      </c>
      <c r="AB39" s="101">
        <f>(((((Q39-AN39*2)*2)+(Y39+Z39*4)+(S39+U39*2)*X39)*2/36)/2)/2</f>
        <v>3.8194444444444446</v>
      </c>
      <c r="AC39" s="101">
        <f>(((((Q39-AN39*2)*2)+(Y39+Z39*4)+(S39+U39*2)*X39)*2/36)/2)/2</f>
        <v>3.8194444444444446</v>
      </c>
      <c r="AD39" s="101"/>
      <c r="AE39" s="101">
        <f>ROUND(X39*17.5,2)</f>
        <v>17.5</v>
      </c>
      <c r="AF39" s="101">
        <f>3.81944444444444*25</f>
        <v>95.486111111111001</v>
      </c>
      <c r="AG39" s="101">
        <f>3.81944444444444*25</f>
        <v>95.486111111111001</v>
      </c>
      <c r="AH39" s="101"/>
      <c r="AI39" s="101" t="s">
        <v>24</v>
      </c>
      <c r="AJ39" s="101">
        <v>20</v>
      </c>
      <c r="AK39" s="101">
        <v>241</v>
      </c>
      <c r="AL39" s="101">
        <v>15</v>
      </c>
      <c r="AM39" s="101">
        <v>15</v>
      </c>
      <c r="AN39" s="101">
        <v>3</v>
      </c>
      <c r="AO39" s="101" t="s">
        <v>33</v>
      </c>
      <c r="AP39" s="101" t="s">
        <v>146</v>
      </c>
      <c r="AQ39" s="101">
        <v>3.5</v>
      </c>
      <c r="AR39" s="101" t="s">
        <v>158</v>
      </c>
      <c r="AS39" s="101"/>
    </row>
    <row r="40" spans="1:45" ht="75">
      <c r="A40" s="101" t="s">
        <v>67</v>
      </c>
      <c r="B40" s="101" t="s">
        <v>23</v>
      </c>
      <c r="C40" s="101" t="s">
        <v>175</v>
      </c>
      <c r="D40" s="101" t="s">
        <v>24</v>
      </c>
      <c r="E40" s="101" t="s">
        <v>45</v>
      </c>
      <c r="F40" s="101" t="s">
        <v>55</v>
      </c>
      <c r="G40" s="101" t="s">
        <v>37</v>
      </c>
      <c r="H40" s="101" t="s">
        <v>38</v>
      </c>
      <c r="I40" s="101" t="s">
        <v>37</v>
      </c>
      <c r="J40" s="101" t="s">
        <v>38</v>
      </c>
      <c r="K40" s="101" t="s">
        <v>191</v>
      </c>
      <c r="L40" s="101"/>
      <c r="M40" s="101" t="s">
        <v>32</v>
      </c>
      <c r="N40" s="101"/>
      <c r="O40" s="101"/>
      <c r="P40" s="101" t="s">
        <v>162</v>
      </c>
      <c r="Q40" s="101">
        <v>96</v>
      </c>
      <c r="R40" s="101">
        <v>18</v>
      </c>
      <c r="S40" s="101">
        <v>22</v>
      </c>
      <c r="T40" s="101">
        <v>45</v>
      </c>
      <c r="U40" s="101"/>
      <c r="V40" s="101">
        <f>(Q40-(AN40*2))/2</f>
        <v>56</v>
      </c>
      <c r="W40" s="101">
        <v>40</v>
      </c>
      <c r="X40" s="101">
        <v>1</v>
      </c>
      <c r="Y40" s="101">
        <v>25</v>
      </c>
      <c r="Z40" s="101">
        <v>12</v>
      </c>
      <c r="AA40" s="101" t="s">
        <v>12</v>
      </c>
      <c r="AB40" s="101">
        <f>(((((Q40-AN40*2)*2)+(Y40+Z40*4)+(S40+U40*2)*1)*2/36)/2)/2</f>
        <v>4.4305555555555554</v>
      </c>
      <c r="AC40" s="101">
        <f>(((((Q40-AN40*2)*2)+(Y40+Z40*4)+(S40+U40*2)*1)*2/36)/2)/2</f>
        <v>4.4305555555555554</v>
      </c>
      <c r="AD40" s="101"/>
      <c r="AE40" s="101">
        <f>ROUND(X40*17.5,2)</f>
        <v>17.5</v>
      </c>
      <c r="AF40" s="101">
        <f>4.43055555555556*25</f>
        <v>110.763888888889</v>
      </c>
      <c r="AG40" s="101">
        <f>4.43055555555556*25</f>
        <v>110.763888888889</v>
      </c>
      <c r="AH40" s="101"/>
      <c r="AI40" s="101" t="s">
        <v>24</v>
      </c>
      <c r="AJ40" s="101">
        <v>10</v>
      </c>
      <c r="AK40" s="101">
        <v>241</v>
      </c>
      <c r="AL40" s="101">
        <v>10</v>
      </c>
      <c r="AM40" s="101">
        <v>10</v>
      </c>
      <c r="AN40" s="101">
        <v>-8</v>
      </c>
      <c r="AO40" s="101" t="s">
        <v>33</v>
      </c>
      <c r="AP40" s="101" t="s">
        <v>146</v>
      </c>
      <c r="AQ40" s="101">
        <v>3.5</v>
      </c>
      <c r="AR40" s="101" t="s">
        <v>158</v>
      </c>
      <c r="AS40" s="101"/>
    </row>
    <row r="41" spans="1:45" ht="60">
      <c r="A41" s="101" t="s">
        <v>67</v>
      </c>
      <c r="B41" s="101" t="s">
        <v>23</v>
      </c>
      <c r="C41" s="101" t="s">
        <v>175</v>
      </c>
      <c r="D41" s="101" t="s">
        <v>24</v>
      </c>
      <c r="E41" s="101" t="s">
        <v>45</v>
      </c>
      <c r="F41" s="101" t="s">
        <v>55</v>
      </c>
      <c r="G41" s="101" t="s">
        <v>37</v>
      </c>
      <c r="H41" s="101" t="s">
        <v>38</v>
      </c>
      <c r="I41" s="101" t="s">
        <v>37</v>
      </c>
      <c r="J41" s="101" t="s">
        <v>38</v>
      </c>
      <c r="K41" s="101" t="s">
        <v>191</v>
      </c>
      <c r="L41" s="101"/>
      <c r="M41" s="101" t="s">
        <v>32</v>
      </c>
      <c r="N41" s="101"/>
      <c r="O41" s="101"/>
      <c r="P41" s="101" t="s">
        <v>162</v>
      </c>
      <c r="Q41" s="101">
        <v>96</v>
      </c>
      <c r="R41" s="101">
        <v>18</v>
      </c>
      <c r="S41" s="101">
        <v>18</v>
      </c>
      <c r="T41" s="101">
        <v>36</v>
      </c>
      <c r="U41" s="101"/>
      <c r="V41" s="101">
        <f>(Q41-(AN41*2))/2</f>
        <v>41</v>
      </c>
      <c r="W41" s="101">
        <v>30</v>
      </c>
      <c r="X41" s="101">
        <v>1</v>
      </c>
      <c r="Y41" s="101">
        <v>20</v>
      </c>
      <c r="Z41" s="101">
        <v>10</v>
      </c>
      <c r="AA41" s="101" t="s">
        <v>12</v>
      </c>
      <c r="AB41" s="101"/>
      <c r="AC41" s="101"/>
      <c r="AD41" s="101"/>
      <c r="AE41" s="101"/>
      <c r="AF41" s="101"/>
      <c r="AG41" s="101"/>
      <c r="AH41" s="101"/>
      <c r="AI41" s="101"/>
      <c r="AJ41" s="101"/>
      <c r="AK41" s="101">
        <v>180</v>
      </c>
      <c r="AL41" s="101">
        <v>25</v>
      </c>
      <c r="AM41" s="101">
        <v>25</v>
      </c>
      <c r="AN41" s="101">
        <v>7</v>
      </c>
      <c r="AO41" s="101" t="s">
        <v>33</v>
      </c>
      <c r="AP41" s="101"/>
      <c r="AQ41" s="101"/>
      <c r="AR41" s="101"/>
      <c r="AS41" s="101"/>
    </row>
    <row r="42" spans="1:45" ht="75">
      <c r="A42" s="101" t="s">
        <v>67</v>
      </c>
      <c r="B42" s="101" t="s">
        <v>23</v>
      </c>
      <c r="C42" s="101" t="s">
        <v>175</v>
      </c>
      <c r="D42" s="101" t="s">
        <v>24</v>
      </c>
      <c r="E42" s="101" t="s">
        <v>45</v>
      </c>
      <c r="F42" s="101" t="s">
        <v>55</v>
      </c>
      <c r="G42" s="101" t="s">
        <v>37</v>
      </c>
      <c r="H42" s="101" t="s">
        <v>38</v>
      </c>
      <c r="I42" s="101" t="s">
        <v>37</v>
      </c>
      <c r="J42" s="101" t="s">
        <v>38</v>
      </c>
      <c r="K42" s="101" t="s">
        <v>29</v>
      </c>
      <c r="L42" s="101"/>
      <c r="M42" s="101" t="s">
        <v>32</v>
      </c>
      <c r="N42" s="101"/>
      <c r="O42" s="101"/>
      <c r="P42" s="101" t="s">
        <v>162</v>
      </c>
      <c r="Q42" s="101">
        <v>96</v>
      </c>
      <c r="R42" s="101">
        <v>18</v>
      </c>
      <c r="S42" s="101">
        <v>18</v>
      </c>
      <c r="T42" s="101">
        <v>36</v>
      </c>
      <c r="U42" s="101"/>
      <c r="V42" s="101">
        <f>(Q42-(AN42*2))/2</f>
        <v>41</v>
      </c>
      <c r="W42" s="101">
        <v>30</v>
      </c>
      <c r="X42" s="101">
        <v>1</v>
      </c>
      <c r="Y42" s="101">
        <v>20</v>
      </c>
      <c r="Z42" s="101">
        <v>10</v>
      </c>
      <c r="AA42" s="101" t="s">
        <v>12</v>
      </c>
      <c r="AB42" s="101">
        <f>((((((Q42-AN42*2)*1.5)+(Y42+Z42*4)+(S42+U42*2)*1)*2/36)/2)/2)*2</f>
        <v>5.583333333333333</v>
      </c>
      <c r="AC42" s="101">
        <f>((((((Q42-AN42*2)*1.5)+(Y42+Z42*4)+(S42+U42*2)*0.5)*2/36)/2)/2)*2</f>
        <v>5.333333333333333</v>
      </c>
      <c r="AD42" s="101"/>
      <c r="AE42" s="101">
        <f>ROUND(X42*17.5,2)</f>
        <v>17.5</v>
      </c>
      <c r="AF42" s="101">
        <f>5.58333333333333*25</f>
        <v>139.58333333333326</v>
      </c>
      <c r="AG42" s="101">
        <f>5.33333333333333*25</f>
        <v>133.33333333333326</v>
      </c>
      <c r="AH42" s="101"/>
      <c r="AI42" s="101" t="s">
        <v>24</v>
      </c>
      <c r="AJ42" s="101">
        <v>26</v>
      </c>
      <c r="AK42" s="101">
        <v>180</v>
      </c>
      <c r="AL42" s="101">
        <v>25</v>
      </c>
      <c r="AM42" s="101">
        <v>25</v>
      </c>
      <c r="AN42" s="101">
        <v>7</v>
      </c>
      <c r="AO42" s="101" t="s">
        <v>33</v>
      </c>
      <c r="AP42" s="101" t="s">
        <v>146</v>
      </c>
      <c r="AQ42" s="101">
        <v>3.5</v>
      </c>
      <c r="AR42" s="101" t="s">
        <v>158</v>
      </c>
      <c r="AS42" s="101"/>
    </row>
    <row r="43" spans="1:45" ht="75">
      <c r="A43" s="101" t="s">
        <v>67</v>
      </c>
      <c r="B43" s="101" t="s">
        <v>23</v>
      </c>
      <c r="C43" s="101" t="s">
        <v>175</v>
      </c>
      <c r="D43" s="101" t="s">
        <v>24</v>
      </c>
      <c r="E43" s="101" t="s">
        <v>45</v>
      </c>
      <c r="F43" s="101" t="s">
        <v>55</v>
      </c>
      <c r="G43" s="101" t="s">
        <v>37</v>
      </c>
      <c r="H43" s="101" t="s">
        <v>38</v>
      </c>
      <c r="I43" s="101" t="s">
        <v>37</v>
      </c>
      <c r="J43" s="101" t="s">
        <v>38</v>
      </c>
      <c r="K43" s="101" t="s">
        <v>29</v>
      </c>
      <c r="L43" s="101"/>
      <c r="M43" s="101" t="s">
        <v>32</v>
      </c>
      <c r="N43" s="101"/>
      <c r="O43" s="101"/>
      <c r="P43" s="101" t="s">
        <v>162</v>
      </c>
      <c r="Q43" s="101">
        <v>96</v>
      </c>
      <c r="R43" s="101">
        <v>18</v>
      </c>
      <c r="S43" s="101">
        <v>18</v>
      </c>
      <c r="T43" s="101">
        <v>36</v>
      </c>
      <c r="U43" s="101"/>
      <c r="V43" s="101">
        <f>(Q43-(AN43*2))/2</f>
        <v>41</v>
      </c>
      <c r="W43" s="101">
        <v>30</v>
      </c>
      <c r="X43" s="101">
        <v>1</v>
      </c>
      <c r="Y43" s="101">
        <v>20</v>
      </c>
      <c r="Z43" s="101">
        <v>10</v>
      </c>
      <c r="AA43" s="101" t="s">
        <v>12</v>
      </c>
      <c r="AB43" s="101">
        <f>((((((Q43-AN43*2)*1.5)+(Y43+Z43*4)+(S43+U43*2)*1)*2/36)/2)/2)*2</f>
        <v>5.583333333333333</v>
      </c>
      <c r="AC43" s="101">
        <f>((((((Q43-AN43*2)*1.5)+(Y43+Z43*4)+(S43+U43*2)*0.5)*2/36)/2)/2)*2</f>
        <v>5.333333333333333</v>
      </c>
      <c r="AD43" s="101"/>
      <c r="AE43" s="101">
        <f>ROUND(X43*17.5,2)</f>
        <v>17.5</v>
      </c>
      <c r="AF43" s="101">
        <f>5.58333333333333*25</f>
        <v>139.58333333333326</v>
      </c>
      <c r="AG43" s="101">
        <f>5.33333333333333*25</f>
        <v>133.33333333333326</v>
      </c>
      <c r="AH43" s="101"/>
      <c r="AI43" s="101" t="s">
        <v>24</v>
      </c>
      <c r="AJ43" s="101">
        <v>31</v>
      </c>
      <c r="AK43" s="101">
        <v>180</v>
      </c>
      <c r="AL43" s="101">
        <v>25</v>
      </c>
      <c r="AM43" s="101">
        <v>25</v>
      </c>
      <c r="AN43" s="101">
        <v>7</v>
      </c>
      <c r="AO43" s="101" t="s">
        <v>33</v>
      </c>
      <c r="AP43" s="101" t="s">
        <v>146</v>
      </c>
      <c r="AQ43" s="101">
        <v>3.5</v>
      </c>
      <c r="AR43" s="101" t="s">
        <v>158</v>
      </c>
      <c r="AS43" s="101"/>
    </row>
    <row r="44" spans="1:45" ht="75">
      <c r="A44" s="101" t="s">
        <v>67</v>
      </c>
      <c r="B44" s="101" t="s">
        <v>23</v>
      </c>
      <c r="C44" s="101" t="s">
        <v>175</v>
      </c>
      <c r="D44" s="101" t="s">
        <v>24</v>
      </c>
      <c r="E44" s="101" t="s">
        <v>45</v>
      </c>
      <c r="F44" s="101" t="s">
        <v>55</v>
      </c>
      <c r="G44" s="101" t="s">
        <v>37</v>
      </c>
      <c r="H44" s="101" t="s">
        <v>38</v>
      </c>
      <c r="I44" s="101" t="s">
        <v>37</v>
      </c>
      <c r="J44" s="101" t="s">
        <v>38</v>
      </c>
      <c r="K44" s="101" t="s">
        <v>192</v>
      </c>
      <c r="L44" s="101"/>
      <c r="M44" s="101" t="s">
        <v>32</v>
      </c>
      <c r="N44" s="101"/>
      <c r="O44" s="101"/>
      <c r="P44" s="101" t="s">
        <v>162</v>
      </c>
      <c r="Q44" s="101">
        <v>96</v>
      </c>
      <c r="R44" s="101">
        <v>18</v>
      </c>
      <c r="S44" s="101">
        <v>18</v>
      </c>
      <c r="T44" s="101">
        <v>36</v>
      </c>
      <c r="U44" s="101"/>
      <c r="V44" s="101">
        <f>(Q44-(AN44*2))/2</f>
        <v>41</v>
      </c>
      <c r="W44" s="101">
        <v>30</v>
      </c>
      <c r="X44" s="101">
        <v>1</v>
      </c>
      <c r="Y44" s="101">
        <v>20</v>
      </c>
      <c r="Z44" s="101">
        <v>10</v>
      </c>
      <c r="AA44" s="101" t="s">
        <v>12</v>
      </c>
      <c r="AB44" s="101">
        <f>(((((Q44-AN44*2)*1.5)+(Y44+Z44*4)+(S44+U44*2)*1)*2/36)/2)/2</f>
        <v>2.7916666666666665</v>
      </c>
      <c r="AC44" s="101">
        <f>(((((Q44-AN44*2)*1.5)+(Y44+Z44*4)+(S44+U44*2)*0.5)*2/36)/2)/2</f>
        <v>2.6666666666666665</v>
      </c>
      <c r="AD44" s="101"/>
      <c r="AE44" s="101">
        <f>ROUND(X44*17.5,2)</f>
        <v>17.5</v>
      </c>
      <c r="AF44" s="101">
        <f>2.79166666666667*25</f>
        <v>69.791666666666757</v>
      </c>
      <c r="AG44" s="101">
        <f>2.66666666666667*25</f>
        <v>66.666666666666757</v>
      </c>
      <c r="AH44" s="101"/>
      <c r="AI44" s="101" t="s">
        <v>24</v>
      </c>
      <c r="AJ44" s="101">
        <v>27</v>
      </c>
      <c r="AK44" s="101">
        <v>180</v>
      </c>
      <c r="AL44" s="101">
        <v>25</v>
      </c>
      <c r="AM44" s="101">
        <v>25</v>
      </c>
      <c r="AN44" s="101">
        <v>7</v>
      </c>
      <c r="AO44" s="101" t="s">
        <v>33</v>
      </c>
      <c r="AP44" s="101" t="s">
        <v>146</v>
      </c>
      <c r="AQ44" s="101">
        <v>3.5</v>
      </c>
      <c r="AR44" s="101" t="s">
        <v>158</v>
      </c>
      <c r="AS44" s="101"/>
    </row>
    <row r="45" spans="1:45" ht="75">
      <c r="A45" s="101" t="s">
        <v>67</v>
      </c>
      <c r="B45" s="101" t="s">
        <v>23</v>
      </c>
      <c r="C45" s="101" t="s">
        <v>175</v>
      </c>
      <c r="D45" s="101" t="s">
        <v>24</v>
      </c>
      <c r="E45" s="101" t="s">
        <v>45</v>
      </c>
      <c r="F45" s="101" t="s">
        <v>55</v>
      </c>
      <c r="G45" s="101" t="s">
        <v>37</v>
      </c>
      <c r="H45" s="101" t="s">
        <v>38</v>
      </c>
      <c r="I45" s="101" t="s">
        <v>37</v>
      </c>
      <c r="J45" s="101" t="s">
        <v>38</v>
      </c>
      <c r="K45" s="101" t="s">
        <v>192</v>
      </c>
      <c r="L45" s="101"/>
      <c r="M45" s="101" t="s">
        <v>32</v>
      </c>
      <c r="N45" s="101"/>
      <c r="O45" s="101"/>
      <c r="P45" s="101" t="s">
        <v>162</v>
      </c>
      <c r="Q45" s="101">
        <v>96</v>
      </c>
      <c r="R45" s="101">
        <v>18</v>
      </c>
      <c r="S45" s="101">
        <v>22</v>
      </c>
      <c r="T45" s="101">
        <v>45</v>
      </c>
      <c r="U45" s="101"/>
      <c r="V45" s="101">
        <f>(Q45-(AN45*2))/2</f>
        <v>43</v>
      </c>
      <c r="W45" s="101">
        <v>40</v>
      </c>
      <c r="X45" s="101">
        <v>1</v>
      </c>
      <c r="Y45" s="101">
        <v>25</v>
      </c>
      <c r="Z45" s="101">
        <v>12</v>
      </c>
      <c r="AA45" s="101" t="s">
        <v>12</v>
      </c>
      <c r="AB45" s="101">
        <f>(((((Q45-AN45*2)*2)+(Y45+Z45*4)+(S45+U45*2)*1)*2/36)/2)/2</f>
        <v>3.7083333333333335</v>
      </c>
      <c r="AC45" s="101">
        <f>(((((Q45-AN45*2)*2)+(Y45+Z45*4)+(S45+U45*2)*1)*2/36)/2)/2</f>
        <v>3.7083333333333335</v>
      </c>
      <c r="AD45" s="101"/>
      <c r="AE45" s="101">
        <f>ROUND(X45*17.5,2)</f>
        <v>17.5</v>
      </c>
      <c r="AF45" s="101">
        <f>3.70833333333333*25</f>
        <v>92.708333333333243</v>
      </c>
      <c r="AG45" s="101">
        <f>3.70833333333333*25</f>
        <v>92.708333333333243</v>
      </c>
      <c r="AH45" s="101"/>
      <c r="AI45" s="101" t="s">
        <v>24</v>
      </c>
      <c r="AJ45" s="101">
        <v>23</v>
      </c>
      <c r="AK45" s="101">
        <v>241</v>
      </c>
      <c r="AL45" s="101">
        <v>23</v>
      </c>
      <c r="AM45" s="101">
        <v>23</v>
      </c>
      <c r="AN45" s="101">
        <v>5</v>
      </c>
      <c r="AO45" s="101" t="s">
        <v>33</v>
      </c>
      <c r="AP45" s="101" t="s">
        <v>146</v>
      </c>
      <c r="AQ45" s="101">
        <v>3.5</v>
      </c>
      <c r="AR45" s="101" t="s">
        <v>158</v>
      </c>
      <c r="AS45" s="101"/>
    </row>
    <row r="46" spans="1:45" ht="75">
      <c r="A46" s="101" t="s">
        <v>67</v>
      </c>
      <c r="B46" s="101" t="s">
        <v>23</v>
      </c>
      <c r="C46" s="101" t="s">
        <v>175</v>
      </c>
      <c r="D46" s="101" t="s">
        <v>24</v>
      </c>
      <c r="E46" s="101" t="s">
        <v>45</v>
      </c>
      <c r="F46" s="101" t="s">
        <v>55</v>
      </c>
      <c r="G46" s="101" t="s">
        <v>37</v>
      </c>
      <c r="H46" s="101" t="s">
        <v>38</v>
      </c>
      <c r="I46" s="101" t="s">
        <v>37</v>
      </c>
      <c r="J46" s="101" t="s">
        <v>38</v>
      </c>
      <c r="K46" s="101" t="s">
        <v>192</v>
      </c>
      <c r="L46" s="101"/>
      <c r="M46" s="101" t="s">
        <v>24</v>
      </c>
      <c r="N46" s="101" t="s">
        <v>37</v>
      </c>
      <c r="O46" s="101" t="s">
        <v>38</v>
      </c>
      <c r="P46" s="101" t="s">
        <v>162</v>
      </c>
      <c r="Q46" s="101">
        <v>96</v>
      </c>
      <c r="R46" s="101">
        <v>18</v>
      </c>
      <c r="S46" s="101">
        <v>22</v>
      </c>
      <c r="T46" s="101">
        <v>45</v>
      </c>
      <c r="U46" s="101"/>
      <c r="V46" s="101">
        <f>(Q46-(AN46*2))/2</f>
        <v>43</v>
      </c>
      <c r="W46" s="101">
        <v>40</v>
      </c>
      <c r="X46" s="101">
        <v>1</v>
      </c>
      <c r="Y46" s="101">
        <v>25</v>
      </c>
      <c r="Z46" s="101">
        <v>12</v>
      </c>
      <c r="AA46" s="101" t="s">
        <v>12</v>
      </c>
      <c r="AB46" s="101">
        <f>(((((Q46-AN46*2)*2)+(Y46+Z46*4)+(S46+U46*2)*1)*2/36)/2)/2</f>
        <v>3.7083333333333335</v>
      </c>
      <c r="AC46" s="101">
        <f>(((((Q46-AN46*2)*2)+(Y46+Z46*4)+(S46+U46*2)*1)*2/36)/2)/2</f>
        <v>3.7083333333333335</v>
      </c>
      <c r="AD46" s="101">
        <f>(((Q46-AN46*2)*2+(Z46+Y46+S46)*2)*X46/36)/2</f>
        <v>4.0277777777777777</v>
      </c>
      <c r="AE46" s="101">
        <f>ROUND(X46*17.5,2)</f>
        <v>17.5</v>
      </c>
      <c r="AF46" s="101">
        <f>3.70833333333333*25</f>
        <v>92.708333333333243</v>
      </c>
      <c r="AG46" s="101">
        <f>3.70833333333333*25</f>
        <v>92.708333333333243</v>
      </c>
      <c r="AH46" s="101">
        <f>3.70833333333333*10</f>
        <v>37.0833333333333</v>
      </c>
      <c r="AI46" s="101" t="s">
        <v>24</v>
      </c>
      <c r="AJ46" s="101">
        <v>23</v>
      </c>
      <c r="AK46" s="101">
        <v>241</v>
      </c>
      <c r="AL46" s="101">
        <v>23</v>
      </c>
      <c r="AM46" s="101">
        <v>23</v>
      </c>
      <c r="AN46" s="101">
        <v>5</v>
      </c>
      <c r="AO46" s="101" t="s">
        <v>33</v>
      </c>
      <c r="AP46" s="101" t="s">
        <v>146</v>
      </c>
      <c r="AQ46" s="101">
        <v>3.5</v>
      </c>
      <c r="AR46" s="101" t="s">
        <v>158</v>
      </c>
      <c r="AS46" s="101"/>
    </row>
    <row r="47" spans="1:45" ht="75">
      <c r="A47" s="101" t="s">
        <v>67</v>
      </c>
      <c r="B47" s="101" t="s">
        <v>23</v>
      </c>
      <c r="C47" s="101" t="s">
        <v>48</v>
      </c>
      <c r="D47" s="101" t="s">
        <v>24</v>
      </c>
      <c r="E47" s="101" t="s">
        <v>45</v>
      </c>
      <c r="F47" s="101" t="s">
        <v>55</v>
      </c>
      <c r="G47" s="101" t="s">
        <v>37</v>
      </c>
      <c r="H47" s="101" t="s">
        <v>38</v>
      </c>
      <c r="I47" s="101" t="s">
        <v>37</v>
      </c>
      <c r="J47" s="101" t="s">
        <v>38</v>
      </c>
      <c r="K47" s="101" t="s">
        <v>192</v>
      </c>
      <c r="L47" s="101"/>
      <c r="M47" s="101" t="s">
        <v>24</v>
      </c>
      <c r="N47" s="101" t="s">
        <v>37</v>
      </c>
      <c r="O47" s="101" t="s">
        <v>38</v>
      </c>
      <c r="P47" s="101" t="s">
        <v>162</v>
      </c>
      <c r="Q47" s="101">
        <v>96</v>
      </c>
      <c r="R47" s="101">
        <v>18</v>
      </c>
      <c r="S47" s="101">
        <v>0.2</v>
      </c>
      <c r="T47" s="101">
        <v>0.1</v>
      </c>
      <c r="U47" s="101">
        <v>0.1</v>
      </c>
      <c r="V47" s="101">
        <f>(Q47-(R47*2))/2</f>
        <v>30</v>
      </c>
      <c r="W47" s="101">
        <v>40</v>
      </c>
      <c r="X47" s="101">
        <v>1</v>
      </c>
      <c r="Y47" s="101">
        <v>36</v>
      </c>
      <c r="Z47" s="101">
        <v>18</v>
      </c>
      <c r="AA47" s="101" t="s">
        <v>12</v>
      </c>
      <c r="AB47" s="101">
        <f>ROUND(((((((Q47+AL47+AM47)/2)*2+((Y47+S47+U47+T47)*1))/36)/2)/2),2)</f>
        <v>1.24</v>
      </c>
      <c r="AC47" s="101">
        <f>ROUND(((((((Q47+AL47+AM47)/2)*2+((Y47+S47+U47+T47)*1))/36)/2)/2),2)</f>
        <v>1.24</v>
      </c>
      <c r="AD47" s="101">
        <f>((((Q47-R47*2)*2)+(Z47+S47)*2)*X47/36)/2</f>
        <v>2.1722222222222225</v>
      </c>
      <c r="AE47" s="101">
        <f>ROUND(X47*17.5,2)</f>
        <v>17.5</v>
      </c>
      <c r="AF47" s="101">
        <f>1.24*25</f>
        <v>31</v>
      </c>
      <c r="AG47" s="101">
        <f>1.24*25</f>
        <v>31</v>
      </c>
      <c r="AH47" s="101">
        <f>1.24*10</f>
        <v>12.4</v>
      </c>
      <c r="AI47" s="101" t="s">
        <v>24</v>
      </c>
      <c r="AJ47" s="101">
        <v>23</v>
      </c>
      <c r="AK47" s="101">
        <v>241</v>
      </c>
      <c r="AL47" s="101">
        <v>23</v>
      </c>
      <c r="AM47" s="101">
        <v>23</v>
      </c>
      <c r="AN47" s="101">
        <v>5</v>
      </c>
      <c r="AO47" s="101" t="s">
        <v>33</v>
      </c>
      <c r="AP47" s="101" t="s">
        <v>146</v>
      </c>
      <c r="AQ47" s="101">
        <v>3.5</v>
      </c>
      <c r="AR47" s="101" t="s">
        <v>158</v>
      </c>
      <c r="AS47" s="101"/>
    </row>
    <row r="48" spans="1:45">
      <c r="A48" s="101"/>
      <c r="B48" s="101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  <c r="AC48" s="101"/>
      <c r="AD48" s="101"/>
      <c r="AE48" s="101"/>
      <c r="AF48" s="101"/>
      <c r="AG48" s="101"/>
      <c r="AH48" s="101"/>
      <c r="AI48" s="101"/>
      <c r="AJ48" s="101"/>
      <c r="AK48" s="101"/>
      <c r="AL48" s="101"/>
      <c r="AM48" s="101"/>
      <c r="AN48" s="101"/>
      <c r="AO48" s="101"/>
      <c r="AP48" s="101"/>
      <c r="AQ48" s="101"/>
      <c r="AR48" s="101"/>
      <c r="AS48" s="101"/>
    </row>
    <row r="49" spans="1:45">
      <c r="A49" s="101"/>
      <c r="B49" s="101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  <c r="AC49" s="101"/>
      <c r="AD49" s="101"/>
      <c r="AE49" s="101"/>
      <c r="AF49" s="101"/>
      <c r="AG49" s="101"/>
      <c r="AH49" s="101"/>
      <c r="AI49" s="101"/>
      <c r="AJ49" s="101"/>
      <c r="AK49" s="101"/>
      <c r="AL49" s="101"/>
      <c r="AM49" s="101"/>
      <c r="AN49" s="101"/>
      <c r="AO49" s="101"/>
      <c r="AP49" s="101"/>
      <c r="AQ49" s="101"/>
      <c r="AR49" s="101"/>
      <c r="AS49" s="101"/>
    </row>
    <row r="50" spans="1:45">
      <c r="A50" s="101"/>
      <c r="B50" s="101"/>
      <c r="C50" s="101"/>
      <c r="D50" s="101"/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  <c r="AC50" s="101"/>
      <c r="AD50" s="101"/>
      <c r="AE50" s="101"/>
      <c r="AF50" s="101"/>
      <c r="AG50" s="101"/>
      <c r="AH50" s="101"/>
      <c r="AI50" s="101"/>
      <c r="AJ50" s="101"/>
      <c r="AK50" s="101"/>
      <c r="AL50" s="101"/>
      <c r="AM50" s="101"/>
      <c r="AN50" s="101"/>
      <c r="AO50" s="101"/>
      <c r="AP50" s="101"/>
      <c r="AQ50" s="101"/>
      <c r="AR50" s="101"/>
      <c r="AS50" s="101"/>
    </row>
    <row r="51" spans="1:45">
      <c r="A51" s="101"/>
      <c r="B51" s="101"/>
      <c r="C51" s="101"/>
      <c r="D51" s="101"/>
      <c r="E51" s="101"/>
      <c r="F51" s="101"/>
      <c r="G51" s="101"/>
      <c r="H51" s="101"/>
      <c r="I51" s="101"/>
      <c r="J51" s="101"/>
      <c r="K51" s="101"/>
      <c r="L51" s="101"/>
      <c r="M51" s="101"/>
      <c r="N51" s="101"/>
      <c r="O51" s="101"/>
      <c r="P51" s="101"/>
      <c r="Q51" s="101"/>
      <c r="R51" s="101"/>
      <c r="S51" s="101"/>
      <c r="T51" s="101"/>
      <c r="U51" s="101"/>
      <c r="V51" s="101"/>
      <c r="W51" s="101"/>
      <c r="X51" s="101"/>
      <c r="Y51" s="101"/>
      <c r="Z51" s="101"/>
      <c r="AA51" s="101"/>
      <c r="AB51" s="101"/>
      <c r="AC51" s="101"/>
      <c r="AD51" s="101"/>
      <c r="AE51" s="101"/>
      <c r="AF51" s="101"/>
      <c r="AG51" s="101"/>
      <c r="AH51" s="101"/>
      <c r="AI51" s="101"/>
      <c r="AJ51" s="101"/>
      <c r="AK51" s="101"/>
      <c r="AL51" s="101"/>
      <c r="AM51" s="101"/>
      <c r="AN51" s="101"/>
      <c r="AO51" s="101"/>
      <c r="AP51" s="101"/>
      <c r="AQ51" s="101"/>
      <c r="AR51" s="101"/>
      <c r="AS51" s="101"/>
    </row>
    <row r="52" spans="1:45">
      <c r="A52" s="101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1"/>
      <c r="AL52" s="101"/>
      <c r="AM52" s="101"/>
      <c r="AN52" s="101"/>
      <c r="AO52" s="101"/>
      <c r="AP52" s="101"/>
      <c r="AQ52" s="101"/>
      <c r="AR52" s="101"/>
      <c r="AS52" s="101"/>
    </row>
    <row r="53" spans="1:45">
      <c r="A53" s="101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1"/>
      <c r="AL53" s="101"/>
      <c r="AM53" s="101"/>
      <c r="AN53" s="101"/>
      <c r="AO53" s="101"/>
      <c r="AP53" s="101"/>
      <c r="AQ53" s="101"/>
      <c r="AR53" s="101"/>
      <c r="AS53" s="101"/>
    </row>
    <row r="54" spans="1:45">
      <c r="A54" s="101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1"/>
      <c r="O54" s="101"/>
      <c r="P54" s="101"/>
      <c r="Q54" s="101"/>
      <c r="R54" s="101"/>
      <c r="S54" s="101"/>
      <c r="T54" s="101"/>
      <c r="U54" s="101"/>
      <c r="V54" s="101"/>
      <c r="W54" s="101"/>
      <c r="X54" s="101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1"/>
      <c r="AL54" s="101"/>
      <c r="AM54" s="101"/>
      <c r="AN54" s="101"/>
      <c r="AO54" s="101"/>
      <c r="AP54" s="101"/>
      <c r="AQ54" s="101"/>
      <c r="AR54" s="101"/>
      <c r="AS54" s="101"/>
    </row>
    <row r="55" spans="1:45">
      <c r="A55" s="101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1"/>
      <c r="O55" s="101"/>
      <c r="P55" s="101"/>
      <c r="Q55" s="101"/>
      <c r="R55" s="101"/>
      <c r="S55" s="101"/>
      <c r="T55" s="101"/>
      <c r="U55" s="101"/>
      <c r="V55" s="101"/>
      <c r="W55" s="101"/>
      <c r="X55" s="101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1"/>
      <c r="AL55" s="101"/>
      <c r="AM55" s="101"/>
      <c r="AN55" s="101"/>
      <c r="AO55" s="101"/>
      <c r="AP55" s="101"/>
      <c r="AQ55" s="101"/>
      <c r="AR55" s="101"/>
      <c r="AS55" s="101"/>
    </row>
    <row r="56" spans="1:45">
      <c r="A56" s="101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1"/>
      <c r="AL56" s="101"/>
      <c r="AM56" s="101"/>
      <c r="AN56" s="101"/>
      <c r="AO56" s="101"/>
      <c r="AP56" s="101"/>
      <c r="AQ56" s="101"/>
      <c r="AR56" s="101"/>
      <c r="AS56" s="101"/>
    </row>
    <row r="57" spans="1:45">
      <c r="A57" s="101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  <c r="O57" s="101"/>
      <c r="P57" s="101"/>
      <c r="Q57" s="101"/>
      <c r="R57" s="101"/>
      <c r="S57" s="101"/>
      <c r="T57" s="101"/>
      <c r="U57" s="101"/>
      <c r="V57" s="101"/>
      <c r="W57" s="101"/>
      <c r="X57" s="101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1"/>
      <c r="AL57" s="101"/>
      <c r="AM57" s="101"/>
      <c r="AN57" s="101"/>
      <c r="AO57" s="101"/>
      <c r="AP57" s="101"/>
      <c r="AQ57" s="101"/>
      <c r="AR57" s="101"/>
      <c r="AS57" s="101"/>
    </row>
    <row r="58" spans="1:45">
      <c r="A58" s="101"/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  <c r="R58" s="101"/>
      <c r="S58" s="101"/>
      <c r="T58" s="101"/>
      <c r="U58" s="101"/>
      <c r="V58" s="101"/>
      <c r="W58" s="101"/>
      <c r="X58" s="101"/>
      <c r="Y58" s="101"/>
      <c r="Z58" s="101"/>
      <c r="AA58" s="101"/>
      <c r="AB58" s="101"/>
      <c r="AC58" s="101"/>
      <c r="AD58" s="101"/>
      <c r="AE58" s="101"/>
      <c r="AF58" s="101"/>
      <c r="AG58" s="101"/>
      <c r="AH58" s="101"/>
      <c r="AI58" s="101"/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</row>
    <row r="59" spans="1:45">
      <c r="A59" s="101"/>
      <c r="B59" s="101"/>
      <c r="C59" s="101"/>
      <c r="D59" s="101"/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  <c r="AC59" s="101"/>
      <c r="AD59" s="101"/>
      <c r="AE59" s="101"/>
      <c r="AF59" s="101"/>
      <c r="AG59" s="101"/>
      <c r="AH59" s="101"/>
      <c r="AI59" s="101"/>
      <c r="AJ59" s="101"/>
      <c r="AK59" s="101"/>
      <c r="AL59" s="101"/>
      <c r="AM59" s="101"/>
      <c r="AN59" s="101"/>
      <c r="AO59" s="101"/>
      <c r="AP59" s="101"/>
      <c r="AQ59" s="101"/>
      <c r="AR59" s="101"/>
      <c r="AS59" s="101"/>
    </row>
    <row r="60" spans="1:45">
      <c r="A60" s="101"/>
      <c r="B60" s="101"/>
      <c r="C60" s="101"/>
      <c r="D60" s="101"/>
      <c r="E60" s="101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  <c r="AA60" s="101"/>
      <c r="AB60" s="101"/>
      <c r="AC60" s="101"/>
      <c r="AD60" s="101"/>
      <c r="AE60" s="101"/>
      <c r="AF60" s="101"/>
      <c r="AG60" s="101"/>
      <c r="AH60" s="101"/>
      <c r="AI60" s="101"/>
      <c r="AJ60" s="101"/>
      <c r="AK60" s="101"/>
      <c r="AL60" s="101"/>
      <c r="AM60" s="101"/>
      <c r="AN60" s="101"/>
      <c r="AO60" s="101"/>
      <c r="AP60" s="101"/>
      <c r="AQ60" s="101"/>
      <c r="AR60" s="101"/>
      <c r="AS60" s="101"/>
    </row>
    <row r="61" spans="1:45">
      <c r="A61" s="101"/>
      <c r="B61" s="101"/>
      <c r="C61" s="101"/>
      <c r="D61" s="101"/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  <c r="AC61" s="101"/>
      <c r="AD61" s="101"/>
      <c r="AE61" s="101"/>
      <c r="AF61" s="101"/>
      <c r="AG61" s="101"/>
      <c r="AH61" s="101"/>
      <c r="AI61" s="101"/>
      <c r="AJ61" s="101"/>
      <c r="AK61" s="101"/>
      <c r="AL61" s="101"/>
      <c r="AM61" s="101"/>
      <c r="AN61" s="101"/>
      <c r="AO61" s="101"/>
      <c r="AP61" s="101"/>
      <c r="AQ61" s="101"/>
      <c r="AR61" s="101"/>
      <c r="AS61" s="101"/>
    </row>
    <row r="62" spans="1:45">
      <c r="A62" s="101"/>
      <c r="B62" s="101"/>
      <c r="C62" s="101"/>
      <c r="D62" s="101"/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  <c r="AC62" s="101"/>
      <c r="AD62" s="101"/>
      <c r="AE62" s="101"/>
      <c r="AF62" s="101"/>
      <c r="AG62" s="101"/>
      <c r="AH62" s="101"/>
      <c r="AI62" s="101"/>
      <c r="AJ62" s="101"/>
      <c r="AK62" s="101"/>
      <c r="AL62" s="101"/>
      <c r="AM62" s="101"/>
      <c r="AN62" s="101"/>
      <c r="AO62" s="101"/>
      <c r="AP62" s="101"/>
      <c r="AQ62" s="101"/>
      <c r="AR62" s="101"/>
      <c r="AS62" s="101"/>
    </row>
    <row r="63" spans="1:45">
      <c r="A63" s="101"/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01"/>
      <c r="P63" s="101"/>
      <c r="Q63" s="101"/>
      <c r="R63" s="101"/>
      <c r="S63" s="101"/>
      <c r="T63" s="101"/>
      <c r="U63" s="101"/>
      <c r="V63" s="101"/>
      <c r="W63" s="101"/>
      <c r="X63" s="101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101"/>
      <c r="AJ63" s="101"/>
      <c r="AK63" s="101"/>
      <c r="AL63" s="101"/>
      <c r="AM63" s="101"/>
      <c r="AN63" s="101"/>
      <c r="AO63" s="101"/>
      <c r="AP63" s="101"/>
      <c r="AQ63" s="101"/>
      <c r="AR63" s="101"/>
      <c r="AS63" s="101"/>
    </row>
    <row r="64" spans="1:45">
      <c r="A64" s="101"/>
      <c r="B64" s="101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  <c r="AC64" s="101"/>
      <c r="AD64" s="101"/>
      <c r="AE64" s="101"/>
      <c r="AF64" s="101"/>
      <c r="AG64" s="101"/>
      <c r="AH64" s="101"/>
      <c r="AI64" s="101"/>
      <c r="AJ64" s="101"/>
      <c r="AK64" s="101"/>
      <c r="AL64" s="101"/>
      <c r="AM64" s="101"/>
      <c r="AN64" s="101"/>
      <c r="AO64" s="101"/>
      <c r="AP64" s="101"/>
      <c r="AQ64" s="101"/>
      <c r="AR64" s="101"/>
      <c r="AS64" s="101"/>
    </row>
    <row r="65" spans="1:45">
      <c r="A65" s="101"/>
      <c r="B65" s="101"/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1"/>
      <c r="N65" s="101"/>
      <c r="O65" s="101"/>
      <c r="P65" s="101"/>
      <c r="Q65" s="101"/>
      <c r="R65" s="101"/>
      <c r="S65" s="101"/>
      <c r="T65" s="101"/>
      <c r="U65" s="101"/>
      <c r="V65" s="101"/>
      <c r="W65" s="101"/>
      <c r="X65" s="101"/>
      <c r="Y65" s="101"/>
      <c r="Z65" s="101"/>
      <c r="AA65" s="101"/>
      <c r="AB65" s="101"/>
      <c r="AC65" s="101"/>
      <c r="AD65" s="101"/>
      <c r="AE65" s="101"/>
      <c r="AF65" s="101"/>
      <c r="AG65" s="101"/>
      <c r="AH65" s="101"/>
      <c r="AI65" s="101"/>
      <c r="AJ65" s="101"/>
      <c r="AK65" s="101"/>
      <c r="AL65" s="101"/>
      <c r="AM65" s="101"/>
      <c r="AN65" s="101"/>
      <c r="AO65" s="101"/>
      <c r="AP65" s="101"/>
      <c r="AQ65" s="101"/>
      <c r="AR65" s="101"/>
      <c r="AS65" s="101"/>
    </row>
    <row r="66" spans="1:45">
      <c r="A66" s="101"/>
      <c r="B66" s="101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1"/>
      <c r="AF66" s="101"/>
      <c r="AG66" s="101"/>
      <c r="AH66" s="101"/>
      <c r="AI66" s="101"/>
      <c r="AJ66" s="101"/>
      <c r="AK66" s="101"/>
      <c r="AL66" s="101"/>
      <c r="AM66" s="101"/>
      <c r="AN66" s="101"/>
      <c r="AO66" s="101"/>
      <c r="AP66" s="101"/>
      <c r="AQ66" s="101"/>
      <c r="AR66" s="101"/>
      <c r="AS66" s="101"/>
    </row>
    <row r="67" spans="1:45">
      <c r="A67" s="101"/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  <c r="R67" s="101"/>
      <c r="S67" s="101"/>
      <c r="T67" s="101"/>
      <c r="U67" s="101"/>
      <c r="V67" s="101"/>
      <c r="W67" s="101"/>
      <c r="X67" s="101"/>
      <c r="Y67" s="101"/>
      <c r="Z67" s="101"/>
      <c r="AA67" s="101"/>
      <c r="AB67" s="101"/>
      <c r="AC67" s="101"/>
      <c r="AD67" s="101"/>
      <c r="AE67" s="101"/>
      <c r="AF67" s="101"/>
      <c r="AG67" s="101"/>
      <c r="AH67" s="101"/>
      <c r="AI67" s="101"/>
      <c r="AJ67" s="101"/>
      <c r="AK67" s="101"/>
      <c r="AL67" s="101"/>
      <c r="AM67" s="101"/>
      <c r="AN67" s="101"/>
      <c r="AO67" s="101"/>
      <c r="AP67" s="101"/>
      <c r="AQ67" s="101"/>
      <c r="AR67" s="101"/>
      <c r="AS67" s="101"/>
    </row>
    <row r="68" spans="1:45">
      <c r="A68" s="101"/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101"/>
      <c r="AC68" s="101"/>
      <c r="AD68" s="101"/>
      <c r="AE68" s="101"/>
      <c r="AF68" s="101"/>
      <c r="AG68" s="101"/>
      <c r="AH68" s="101"/>
      <c r="AI68" s="101"/>
      <c r="AJ68" s="101"/>
      <c r="AK68" s="101"/>
      <c r="AL68" s="101"/>
      <c r="AM68" s="101"/>
      <c r="AN68" s="101"/>
      <c r="AO68" s="101"/>
      <c r="AP68" s="101"/>
      <c r="AQ68" s="101"/>
      <c r="AR68" s="101"/>
      <c r="AS68" s="101"/>
    </row>
    <row r="69" spans="1:45">
      <c r="A69" s="101"/>
      <c r="B69" s="101"/>
      <c r="C69" s="101"/>
      <c r="D69" s="101"/>
      <c r="E69" s="101"/>
      <c r="F69" s="101"/>
      <c r="G69" s="101"/>
      <c r="H69" s="101"/>
      <c r="I69" s="101"/>
      <c r="J69" s="101"/>
      <c r="K69" s="101"/>
      <c r="L69" s="101"/>
      <c r="M69" s="101"/>
      <c r="N69" s="101"/>
      <c r="O69" s="101"/>
      <c r="P69" s="101"/>
      <c r="Q69" s="101"/>
      <c r="R69" s="101"/>
      <c r="S69" s="101"/>
      <c r="T69" s="101"/>
      <c r="U69" s="101"/>
      <c r="V69" s="101"/>
      <c r="W69" s="101"/>
      <c r="X69" s="101"/>
      <c r="Y69" s="101"/>
      <c r="Z69" s="101"/>
      <c r="AA69" s="101"/>
      <c r="AB69" s="101"/>
      <c r="AC69" s="101"/>
      <c r="AD69" s="101"/>
      <c r="AE69" s="101"/>
      <c r="AF69" s="101"/>
      <c r="AG69" s="101"/>
      <c r="AH69" s="101"/>
      <c r="AI69" s="101"/>
      <c r="AJ69" s="101"/>
      <c r="AK69" s="101"/>
      <c r="AL69" s="101"/>
      <c r="AM69" s="101"/>
      <c r="AN69" s="101"/>
      <c r="AO69" s="101"/>
      <c r="AP69" s="101"/>
      <c r="AQ69" s="101"/>
      <c r="AR69" s="101"/>
      <c r="AS69" s="101"/>
    </row>
    <row r="70" spans="1:45">
      <c r="A70" s="101"/>
      <c r="B70" s="101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101"/>
      <c r="AK70" s="101"/>
      <c r="AL70" s="101"/>
      <c r="AM70" s="101"/>
      <c r="AN70" s="101"/>
      <c r="AO70" s="101"/>
      <c r="AP70" s="101"/>
      <c r="AQ70" s="101"/>
      <c r="AR70" s="101"/>
      <c r="AS70" s="101"/>
    </row>
    <row r="71" spans="1:45">
      <c r="A71" s="101"/>
      <c r="B71" s="101"/>
      <c r="C71" s="101"/>
      <c r="D71" s="101"/>
      <c r="E71" s="101"/>
      <c r="F71" s="101"/>
      <c r="G71" s="101"/>
      <c r="H71" s="101"/>
      <c r="I71" s="101"/>
      <c r="J71" s="101"/>
      <c r="K71" s="101"/>
      <c r="L71" s="101"/>
      <c r="M71" s="101"/>
      <c r="N71" s="101"/>
      <c r="O71" s="101"/>
      <c r="P71" s="101"/>
      <c r="Q71" s="101"/>
      <c r="R71" s="101"/>
      <c r="S71" s="101"/>
      <c r="T71" s="101"/>
      <c r="U71" s="101"/>
      <c r="V71" s="101"/>
      <c r="W71" s="101"/>
      <c r="X71" s="101"/>
      <c r="Y71" s="101"/>
      <c r="Z71" s="101"/>
      <c r="AA71" s="101"/>
      <c r="AB71" s="101"/>
      <c r="AC71" s="101"/>
      <c r="AD71" s="101"/>
      <c r="AE71" s="101"/>
      <c r="AF71" s="101"/>
      <c r="AG71" s="101"/>
      <c r="AH71" s="101"/>
      <c r="AI71" s="101"/>
      <c r="AJ71" s="101"/>
      <c r="AK71" s="101"/>
      <c r="AL71" s="101"/>
      <c r="AM71" s="101"/>
      <c r="AN71" s="101"/>
      <c r="AO71" s="101"/>
      <c r="AP71" s="101"/>
      <c r="AQ71" s="101"/>
      <c r="AR71" s="101"/>
      <c r="AS71" s="101"/>
    </row>
    <row r="72" spans="1:45">
      <c r="A72" s="101"/>
      <c r="B72" s="101"/>
      <c r="C72" s="101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101"/>
      <c r="V72" s="101"/>
      <c r="W72" s="101"/>
      <c r="X72" s="101"/>
      <c r="Y72" s="101"/>
      <c r="Z72" s="101"/>
      <c r="AA72" s="101"/>
      <c r="AB72" s="101"/>
      <c r="AC72" s="101"/>
      <c r="AD72" s="101"/>
      <c r="AE72" s="101"/>
      <c r="AF72" s="101"/>
      <c r="AG72" s="101"/>
      <c r="AH72" s="101"/>
      <c r="AI72" s="101"/>
      <c r="AJ72" s="101"/>
      <c r="AK72" s="101"/>
      <c r="AL72" s="101"/>
      <c r="AM72" s="101"/>
      <c r="AN72" s="101"/>
      <c r="AO72" s="101"/>
      <c r="AP72" s="101"/>
      <c r="AQ72" s="101"/>
      <c r="AR72" s="101"/>
      <c r="AS72" s="101"/>
    </row>
    <row r="73" spans="1:45">
      <c r="A73" s="101"/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01"/>
      <c r="Y73" s="101"/>
      <c r="Z73" s="101"/>
      <c r="AA73" s="101"/>
      <c r="AB73" s="101"/>
      <c r="AC73" s="101"/>
      <c r="AD73" s="101"/>
      <c r="AE73" s="101"/>
      <c r="AF73" s="101"/>
      <c r="AG73" s="101"/>
      <c r="AH73" s="101"/>
      <c r="AI73" s="101"/>
      <c r="AJ73" s="101"/>
      <c r="AK73" s="101"/>
      <c r="AL73" s="101"/>
      <c r="AM73" s="101"/>
      <c r="AN73" s="101"/>
      <c r="AO73" s="101"/>
      <c r="AP73" s="101"/>
      <c r="AQ73" s="101"/>
      <c r="AR73" s="101"/>
      <c r="AS73" s="101"/>
    </row>
    <row r="74" spans="1:45">
      <c r="A74" s="101"/>
      <c r="B74" s="101"/>
      <c r="C74" s="101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N74" s="101"/>
      <c r="AO74" s="101"/>
      <c r="AP74" s="101"/>
      <c r="AQ74" s="101"/>
      <c r="AR74" s="101"/>
      <c r="AS74" s="101"/>
    </row>
    <row r="75" spans="1:45">
      <c r="A75" s="101"/>
      <c r="B75" s="101"/>
      <c r="C75" s="101"/>
      <c r="D75" s="101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L75" s="101"/>
      <c r="AM75" s="101"/>
      <c r="AN75" s="101"/>
      <c r="AO75" s="101"/>
      <c r="AP75" s="101"/>
      <c r="AQ75" s="101"/>
      <c r="AR75" s="101"/>
      <c r="AS75" s="101"/>
    </row>
    <row r="76" spans="1:45">
      <c r="A76" s="101"/>
      <c r="B76" s="101"/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L76" s="101"/>
      <c r="AM76" s="101"/>
      <c r="AN76" s="101"/>
      <c r="AO76" s="101"/>
      <c r="AP76" s="101"/>
      <c r="AQ76" s="101"/>
      <c r="AR76" s="101"/>
      <c r="AS76" s="101"/>
    </row>
    <row r="77" spans="1:45">
      <c r="A77" s="101"/>
      <c r="B77" s="101"/>
      <c r="C77" s="101"/>
      <c r="D77" s="101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L77" s="101"/>
      <c r="AM77" s="101"/>
      <c r="AN77" s="101"/>
      <c r="AO77" s="101"/>
      <c r="AP77" s="101"/>
      <c r="AQ77" s="101"/>
      <c r="AR77" s="101"/>
      <c r="AS77" s="101"/>
    </row>
    <row r="78" spans="1:45">
      <c r="A78" s="101"/>
      <c r="B78" s="101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L78" s="101"/>
      <c r="AM78" s="101"/>
      <c r="AN78" s="101"/>
      <c r="AO78" s="101"/>
      <c r="AP78" s="101"/>
      <c r="AQ78" s="101"/>
      <c r="AR78" s="101"/>
      <c r="AS78" s="101"/>
    </row>
    <row r="79" spans="1:45">
      <c r="A79" s="101"/>
      <c r="B79" s="101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L79" s="101"/>
      <c r="AM79" s="101"/>
      <c r="AN79" s="101"/>
      <c r="AO79" s="101"/>
      <c r="AP79" s="101"/>
      <c r="AQ79" s="101"/>
      <c r="AR79" s="101"/>
      <c r="AS79" s="101"/>
    </row>
    <row r="80" spans="1:45">
      <c r="A80" s="101"/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L80" s="101"/>
      <c r="AM80" s="101"/>
      <c r="AN80" s="101"/>
      <c r="AO80" s="101"/>
      <c r="AP80" s="101"/>
      <c r="AQ80" s="101"/>
      <c r="AR80" s="101"/>
      <c r="AS80" s="101"/>
    </row>
    <row r="81" spans="1:45">
      <c r="A81" s="101"/>
      <c r="B81" s="101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L81" s="101"/>
      <c r="AM81" s="101"/>
      <c r="AN81" s="101"/>
      <c r="AO81" s="101"/>
      <c r="AP81" s="101"/>
      <c r="AQ81" s="101"/>
      <c r="AR81" s="101"/>
      <c r="AS81" s="101"/>
    </row>
    <row r="82" spans="1:45">
      <c r="A82" s="101"/>
      <c r="B82" s="101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  <c r="T82" s="101"/>
      <c r="U82" s="101"/>
      <c r="V82" s="101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101"/>
      <c r="AL82" s="101"/>
      <c r="AM82" s="101"/>
      <c r="AN82" s="101"/>
      <c r="AO82" s="101"/>
      <c r="AP82" s="101"/>
      <c r="AQ82" s="101"/>
      <c r="AR82" s="101"/>
      <c r="AS82" s="101"/>
    </row>
    <row r="83" spans="1:45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  <c r="T83" s="101"/>
      <c r="U83" s="101"/>
      <c r="V83" s="101"/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101"/>
      <c r="AL83" s="101"/>
      <c r="AM83" s="101"/>
      <c r="AN83" s="101"/>
      <c r="AO83" s="101"/>
      <c r="AP83" s="101"/>
      <c r="AQ83" s="101"/>
      <c r="AR83" s="101"/>
      <c r="AS83" s="101"/>
    </row>
    <row r="84" spans="1:45">
      <c r="A84" s="101"/>
      <c r="B84" s="101"/>
      <c r="C84" s="101"/>
      <c r="D84" s="101"/>
      <c r="E84" s="101"/>
      <c r="F84" s="101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01"/>
      <c r="U84" s="101"/>
      <c r="V84" s="101"/>
      <c r="W84" s="101"/>
      <c r="X84" s="101"/>
      <c r="Y84" s="101"/>
      <c r="Z84" s="101"/>
      <c r="AA84" s="101"/>
      <c r="AB84" s="101"/>
      <c r="AC84" s="101"/>
      <c r="AD84" s="101"/>
      <c r="AE84" s="101"/>
      <c r="AF84" s="101"/>
      <c r="AG84" s="101"/>
      <c r="AH84" s="101"/>
      <c r="AI84" s="101"/>
      <c r="AJ84" s="101"/>
      <c r="AK84" s="101"/>
      <c r="AL84" s="101"/>
      <c r="AM84" s="101"/>
      <c r="AN84" s="101"/>
      <c r="AO84" s="101"/>
      <c r="AP84" s="101"/>
      <c r="AQ84" s="101"/>
      <c r="AR84" s="101"/>
      <c r="AS84" s="101"/>
    </row>
    <row r="85" spans="1:45">
      <c r="A85" s="101"/>
      <c r="B85" s="101"/>
      <c r="C85" s="101"/>
      <c r="D85" s="101"/>
      <c r="E85" s="101"/>
      <c r="F85" s="101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101"/>
      <c r="T85" s="101"/>
      <c r="U85" s="101"/>
      <c r="V85" s="101"/>
      <c r="W85" s="101"/>
      <c r="X85" s="101"/>
      <c r="Y85" s="101"/>
      <c r="Z85" s="101"/>
      <c r="AA85" s="101"/>
      <c r="AB85" s="101"/>
      <c r="AC85" s="101"/>
      <c r="AD85" s="101"/>
      <c r="AE85" s="101"/>
      <c r="AF85" s="101"/>
      <c r="AG85" s="101"/>
      <c r="AH85" s="101"/>
      <c r="AI85" s="101"/>
      <c r="AJ85" s="101"/>
      <c r="AK85" s="101"/>
      <c r="AL85" s="101"/>
      <c r="AM85" s="101"/>
      <c r="AN85" s="101"/>
      <c r="AO85" s="101"/>
      <c r="AP85" s="101"/>
      <c r="AQ85" s="101"/>
      <c r="AR85" s="101"/>
      <c r="AS85" s="101"/>
    </row>
    <row r="86" spans="1:45">
      <c r="A86" s="101"/>
      <c r="B86" s="101"/>
      <c r="C86" s="101"/>
      <c r="D86" s="101"/>
      <c r="E86" s="101"/>
      <c r="F86" s="101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1"/>
      <c r="S86" s="101"/>
      <c r="T86" s="101"/>
      <c r="U86" s="101"/>
      <c r="V86" s="101"/>
      <c r="W86" s="101"/>
      <c r="X86" s="101"/>
      <c r="Y86" s="101"/>
      <c r="Z86" s="101"/>
      <c r="AA86" s="101"/>
      <c r="AB86" s="101"/>
      <c r="AC86" s="101"/>
      <c r="AD86" s="101"/>
      <c r="AE86" s="101"/>
      <c r="AF86" s="101"/>
      <c r="AG86" s="101"/>
      <c r="AH86" s="101"/>
      <c r="AI86" s="101"/>
      <c r="AJ86" s="101"/>
      <c r="AK86" s="101"/>
      <c r="AL86" s="101"/>
      <c r="AM86" s="101"/>
      <c r="AN86" s="101"/>
      <c r="AO86" s="101"/>
      <c r="AP86" s="101"/>
      <c r="AQ86" s="101"/>
      <c r="AR86" s="101"/>
      <c r="AS86" s="101"/>
    </row>
    <row r="87" spans="1:45">
      <c r="A87" s="101"/>
      <c r="B87" s="101"/>
      <c r="C87" s="101"/>
      <c r="D87" s="101"/>
      <c r="E87" s="101"/>
      <c r="F87" s="101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1"/>
      <c r="S87" s="101"/>
      <c r="T87" s="101"/>
      <c r="U87" s="101"/>
      <c r="V87" s="101"/>
      <c r="W87" s="101"/>
      <c r="X87" s="101"/>
      <c r="Y87" s="101"/>
      <c r="Z87" s="101"/>
      <c r="AA87" s="101"/>
      <c r="AB87" s="101"/>
      <c r="AC87" s="101"/>
      <c r="AD87" s="101"/>
      <c r="AE87" s="101"/>
      <c r="AF87" s="101"/>
      <c r="AG87" s="101"/>
      <c r="AH87" s="101"/>
      <c r="AI87" s="101"/>
      <c r="AJ87" s="101"/>
      <c r="AK87" s="101"/>
      <c r="AL87" s="101"/>
      <c r="AM87" s="101"/>
      <c r="AN87" s="101"/>
      <c r="AO87" s="101"/>
      <c r="AP87" s="101"/>
      <c r="AQ87" s="101"/>
      <c r="AR87" s="101"/>
      <c r="AS87" s="101"/>
    </row>
    <row r="88" spans="1:45">
      <c r="A88" s="101"/>
      <c r="B88" s="101"/>
      <c r="C88" s="101"/>
      <c r="D88" s="101"/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1"/>
      <c r="S88" s="101"/>
      <c r="T88" s="101"/>
      <c r="U88" s="101"/>
      <c r="V88" s="101"/>
      <c r="W88" s="101"/>
      <c r="X88" s="101"/>
      <c r="Y88" s="101"/>
      <c r="Z88" s="101"/>
      <c r="AA88" s="101"/>
      <c r="AB88" s="101"/>
      <c r="AC88" s="101"/>
      <c r="AD88" s="101"/>
      <c r="AE88" s="101"/>
      <c r="AF88" s="101"/>
      <c r="AG88" s="101"/>
      <c r="AH88" s="101"/>
      <c r="AI88" s="101"/>
      <c r="AJ88" s="101"/>
      <c r="AK88" s="101"/>
      <c r="AL88" s="101"/>
      <c r="AM88" s="101"/>
      <c r="AN88" s="101"/>
      <c r="AO88" s="101"/>
      <c r="AP88" s="101"/>
      <c r="AQ88" s="101"/>
      <c r="AR88" s="101"/>
      <c r="AS88" s="101"/>
    </row>
  </sheetData>
  <mergeCells count="10">
    <mergeCell ref="A1:D1"/>
    <mergeCell ref="E1:G1"/>
    <mergeCell ref="H1:L1"/>
    <mergeCell ref="M1:P1"/>
    <mergeCell ref="Q1:U1"/>
    <mergeCell ref="A2:D2"/>
    <mergeCell ref="E2:G2"/>
    <mergeCell ref="H2:L2"/>
    <mergeCell ref="M2:P2"/>
    <mergeCell ref="Q2:U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Button2_Click">
                <anchor moveWithCells="1" sizeWithCells="1">
                  <from>
                    <xdr:col>7</xdr:col>
                    <xdr:colOff>523875</xdr:colOff>
                    <xdr:row>0</xdr:row>
                    <xdr:rowOff>66675</xdr:rowOff>
                  </from>
                  <to>
                    <xdr:col>10</xdr:col>
                    <xdr:colOff>76200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S140"/>
  <sheetViews>
    <sheetView workbookViewId="0">
      <selection activeCell="A3" sqref="A3:XFD3"/>
    </sheetView>
  </sheetViews>
  <sheetFormatPr defaultColWidth="8.85546875" defaultRowHeight="15"/>
  <sheetData>
    <row r="1" spans="1:45">
      <c r="A1" s="134" t="s">
        <v>156</v>
      </c>
      <c r="B1" s="134"/>
      <c r="C1" s="134"/>
      <c r="D1" s="134"/>
      <c r="E1" s="135"/>
      <c r="F1" s="135"/>
      <c r="G1" s="135"/>
      <c r="H1" s="136"/>
      <c r="I1" s="137"/>
      <c r="J1" s="137"/>
      <c r="K1" s="137"/>
      <c r="L1" s="138"/>
      <c r="M1" s="134" t="s">
        <v>154</v>
      </c>
      <c r="N1" s="134"/>
      <c r="O1" s="134"/>
      <c r="P1" s="134"/>
      <c r="Q1" s="139"/>
      <c r="R1" s="139"/>
      <c r="S1" s="139"/>
      <c r="T1" s="139"/>
      <c r="U1" s="139"/>
      <c r="V1" s="53"/>
      <c r="W1" s="53"/>
      <c r="X1" s="53"/>
      <c r="Y1" s="53"/>
      <c r="Z1" s="53"/>
      <c r="AA1" s="48"/>
      <c r="AI1" s="61"/>
      <c r="AJ1" s="44"/>
      <c r="AK1" s="44"/>
      <c r="AL1" s="44"/>
      <c r="AM1" s="44"/>
      <c r="AN1" s="64"/>
      <c r="AO1" s="64"/>
      <c r="AP1" s="48"/>
      <c r="AQ1" s="48"/>
    </row>
    <row r="2" spans="1:45" ht="26.25" customHeight="1" thickBot="1">
      <c r="A2" s="128" t="s">
        <v>157</v>
      </c>
      <c r="B2" s="128"/>
      <c r="C2" s="128"/>
      <c r="D2" s="128"/>
      <c r="E2" s="129"/>
      <c r="F2" s="129"/>
      <c r="G2" s="129"/>
      <c r="H2" s="130"/>
      <c r="I2" s="131"/>
      <c r="J2" s="131"/>
      <c r="K2" s="131"/>
      <c r="L2" s="132"/>
      <c r="M2" s="128" t="s">
        <v>155</v>
      </c>
      <c r="N2" s="128"/>
      <c r="O2" s="128"/>
      <c r="P2" s="128"/>
      <c r="Q2" s="133"/>
      <c r="R2" s="133"/>
      <c r="S2" s="133"/>
      <c r="T2" s="133"/>
      <c r="U2" s="133"/>
      <c r="V2" s="53"/>
      <c r="W2" s="53"/>
      <c r="X2" s="53"/>
      <c r="Y2" s="53"/>
      <c r="Z2" s="53"/>
      <c r="AA2" s="48"/>
      <c r="AI2" s="61"/>
      <c r="AJ2" s="44"/>
      <c r="AK2" s="44"/>
      <c r="AL2" s="44"/>
      <c r="AM2" s="44"/>
      <c r="AN2" s="74"/>
      <c r="AO2" s="74"/>
      <c r="AP2" s="48"/>
      <c r="AQ2" s="48"/>
    </row>
    <row r="3" spans="1:45" ht="129.75" customHeight="1" thickBot="1">
      <c r="A3" s="84" t="s">
        <v>124</v>
      </c>
      <c r="B3" s="85" t="s">
        <v>125</v>
      </c>
      <c r="C3" s="86" t="s">
        <v>130</v>
      </c>
      <c r="D3" s="87" t="s">
        <v>132</v>
      </c>
      <c r="E3" s="86" t="s">
        <v>142</v>
      </c>
      <c r="F3" s="88" t="s">
        <v>135</v>
      </c>
      <c r="G3" s="86" t="s">
        <v>5</v>
      </c>
      <c r="H3" s="85" t="s">
        <v>6</v>
      </c>
      <c r="I3" s="85" t="s">
        <v>7</v>
      </c>
      <c r="J3" s="85" t="s">
        <v>8</v>
      </c>
      <c r="K3" s="85" t="s">
        <v>133</v>
      </c>
      <c r="L3" s="87" t="s">
        <v>134</v>
      </c>
      <c r="M3" s="89" t="s">
        <v>9</v>
      </c>
      <c r="N3" s="84" t="s">
        <v>10</v>
      </c>
      <c r="O3" s="85" t="s">
        <v>11</v>
      </c>
      <c r="P3" s="88" t="s">
        <v>13</v>
      </c>
      <c r="Q3" s="90" t="s">
        <v>126</v>
      </c>
      <c r="R3" s="85" t="s">
        <v>127</v>
      </c>
      <c r="S3" s="88" t="s">
        <v>14</v>
      </c>
      <c r="T3" s="88" t="s">
        <v>15</v>
      </c>
      <c r="U3" s="88" t="s">
        <v>16</v>
      </c>
      <c r="V3" s="91" t="s">
        <v>137</v>
      </c>
      <c r="W3" s="92" t="s">
        <v>138</v>
      </c>
      <c r="X3" s="92" t="s">
        <v>139</v>
      </c>
      <c r="Y3" s="92" t="s">
        <v>141</v>
      </c>
      <c r="Z3" s="92" t="s">
        <v>140</v>
      </c>
      <c r="AA3" s="85" t="s">
        <v>12</v>
      </c>
      <c r="AB3" s="93" t="s">
        <v>159</v>
      </c>
      <c r="AC3" s="93" t="s">
        <v>160</v>
      </c>
      <c r="AD3" s="93" t="s">
        <v>18</v>
      </c>
      <c r="AE3" s="93" t="s">
        <v>19</v>
      </c>
      <c r="AF3" s="93" t="s">
        <v>20</v>
      </c>
      <c r="AG3" s="93" t="s">
        <v>21</v>
      </c>
      <c r="AH3" s="93" t="s">
        <v>22</v>
      </c>
      <c r="AI3" s="94" t="s">
        <v>131</v>
      </c>
      <c r="AJ3" s="90" t="s">
        <v>0</v>
      </c>
      <c r="AK3" s="85" t="s">
        <v>1</v>
      </c>
      <c r="AL3" s="85" t="s">
        <v>2</v>
      </c>
      <c r="AM3" s="85" t="s">
        <v>3</v>
      </c>
      <c r="AN3" s="85" t="s">
        <v>128</v>
      </c>
      <c r="AO3" s="95" t="s">
        <v>129</v>
      </c>
      <c r="AP3" s="96" t="s">
        <v>96</v>
      </c>
      <c r="AQ3" s="96" t="s">
        <v>4</v>
      </c>
      <c r="AR3" s="97" t="s">
        <v>17</v>
      </c>
      <c r="AS3" s="98" t="s">
        <v>136</v>
      </c>
    </row>
    <row r="4" spans="1:45" ht="45">
      <c r="A4" s="118" t="s">
        <v>44</v>
      </c>
      <c r="B4" s="119" t="s">
        <v>23</v>
      </c>
      <c r="C4" s="119" t="s">
        <v>36</v>
      </c>
      <c r="D4" s="119" t="s">
        <v>24</v>
      </c>
      <c r="E4" s="119"/>
      <c r="F4" s="119"/>
      <c r="G4" s="119" t="s">
        <v>37</v>
      </c>
      <c r="H4" s="119" t="s">
        <v>38</v>
      </c>
      <c r="I4" s="119"/>
      <c r="J4" s="119"/>
      <c r="K4" s="119" t="s">
        <v>29</v>
      </c>
      <c r="L4" s="119" t="s">
        <v>41</v>
      </c>
      <c r="M4" s="119" t="s">
        <v>32</v>
      </c>
      <c r="N4" s="119"/>
      <c r="O4" s="119"/>
      <c r="P4" s="119" t="s">
        <v>65</v>
      </c>
      <c r="Q4" s="119">
        <v>60</v>
      </c>
      <c r="R4" s="119">
        <v>13</v>
      </c>
      <c r="S4" s="119">
        <v>0.2</v>
      </c>
      <c r="T4" s="119">
        <v>0.1</v>
      </c>
      <c r="U4" s="119">
        <v>0.1</v>
      </c>
      <c r="V4" s="119">
        <f t="shared" ref="V4:V41" si="0">(Q4-(R4*2))/2</f>
        <v>17</v>
      </c>
      <c r="W4" s="119">
        <v>40</v>
      </c>
      <c r="X4" s="119">
        <v>3</v>
      </c>
      <c r="Y4" s="119">
        <v>30</v>
      </c>
      <c r="Z4" s="119">
        <v>15</v>
      </c>
      <c r="AA4" s="119" t="s">
        <v>12</v>
      </c>
      <c r="AB4" s="119"/>
      <c r="AC4" s="119"/>
      <c r="AD4" s="119"/>
      <c r="AE4" s="119">
        <f>ROUND(X4*35,2)</f>
        <v>105</v>
      </c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20"/>
    </row>
    <row r="5" spans="1:45" ht="45">
      <c r="A5" s="12" t="s">
        <v>44</v>
      </c>
      <c r="B5" s="101" t="s">
        <v>23</v>
      </c>
      <c r="C5" s="101" t="s">
        <v>36</v>
      </c>
      <c r="D5" s="101" t="s">
        <v>24</v>
      </c>
      <c r="E5" s="101"/>
      <c r="F5" s="101"/>
      <c r="G5" s="101" t="s">
        <v>37</v>
      </c>
      <c r="H5" s="101" t="s">
        <v>38</v>
      </c>
      <c r="I5" s="101"/>
      <c r="J5" s="101"/>
      <c r="K5" s="101" t="s">
        <v>29</v>
      </c>
      <c r="L5" s="101" t="s">
        <v>41</v>
      </c>
      <c r="M5" s="101" t="s">
        <v>32</v>
      </c>
      <c r="N5" s="101"/>
      <c r="O5" s="101"/>
      <c r="P5" s="101" t="s">
        <v>65</v>
      </c>
      <c r="Q5" s="101">
        <v>60</v>
      </c>
      <c r="R5" s="101">
        <v>13</v>
      </c>
      <c r="S5" s="101">
        <v>0.2</v>
      </c>
      <c r="T5" s="101">
        <v>0.1</v>
      </c>
      <c r="U5" s="101">
        <v>0.1</v>
      </c>
      <c r="V5" s="101">
        <f t="shared" si="0"/>
        <v>17</v>
      </c>
      <c r="W5" s="101">
        <v>40</v>
      </c>
      <c r="X5" s="101">
        <v>3</v>
      </c>
      <c r="Y5" s="101">
        <v>30</v>
      </c>
      <c r="Z5" s="101">
        <v>15</v>
      </c>
      <c r="AA5" s="101" t="s">
        <v>12</v>
      </c>
      <c r="AB5" s="101">
        <f>ROUND(((Q5-(AN5*2))*2+(Y5*2)+((S5+U5+T5)*2)*X5)/36*2,4)</f>
        <v>9.9110999999999994</v>
      </c>
      <c r="AC5" s="101"/>
      <c r="AD5" s="101"/>
      <c r="AE5" s="101">
        <f>ROUND(X5*35,2)</f>
        <v>105</v>
      </c>
      <c r="AF5" s="101">
        <f>10.1333*25</f>
        <v>253.33250000000001</v>
      </c>
      <c r="AG5" s="101"/>
      <c r="AH5" s="101"/>
      <c r="AI5" s="101" t="s">
        <v>24</v>
      </c>
      <c r="AJ5" s="101">
        <v>6</v>
      </c>
      <c r="AK5" s="101">
        <v>241</v>
      </c>
      <c r="AL5" s="101">
        <v>12</v>
      </c>
      <c r="AM5" s="101">
        <v>12</v>
      </c>
      <c r="AN5" s="101">
        <v>1</v>
      </c>
      <c r="AO5" s="101" t="s">
        <v>53</v>
      </c>
      <c r="AP5" s="101"/>
      <c r="AQ5" s="101"/>
      <c r="AR5" s="101"/>
      <c r="AS5" s="19"/>
    </row>
    <row r="6" spans="1:45" ht="45">
      <c r="A6" s="12" t="s">
        <v>67</v>
      </c>
      <c r="B6" s="101" t="s">
        <v>23</v>
      </c>
      <c r="C6" s="101" t="s">
        <v>36</v>
      </c>
      <c r="D6" s="101" t="s">
        <v>24</v>
      </c>
      <c r="E6" s="101"/>
      <c r="F6" s="101"/>
      <c r="G6" s="101" t="s">
        <v>37</v>
      </c>
      <c r="H6" s="101" t="s">
        <v>38</v>
      </c>
      <c r="I6" s="101"/>
      <c r="J6" s="101"/>
      <c r="K6" s="101" t="s">
        <v>29</v>
      </c>
      <c r="L6" s="101" t="s">
        <v>41</v>
      </c>
      <c r="M6" s="101" t="s">
        <v>32</v>
      </c>
      <c r="N6" s="101"/>
      <c r="O6" s="101"/>
      <c r="P6" s="101" t="s">
        <v>65</v>
      </c>
      <c r="Q6" s="101">
        <v>60</v>
      </c>
      <c r="R6" s="101">
        <v>13</v>
      </c>
      <c r="S6" s="101">
        <v>0.2</v>
      </c>
      <c r="T6" s="101">
        <v>0.1</v>
      </c>
      <c r="U6" s="101">
        <v>0.1</v>
      </c>
      <c r="V6" s="101">
        <f t="shared" si="0"/>
        <v>17</v>
      </c>
      <c r="W6" s="101">
        <v>40</v>
      </c>
      <c r="X6" s="101">
        <v>3</v>
      </c>
      <c r="Y6" s="101">
        <v>30</v>
      </c>
      <c r="Z6" s="101">
        <v>15</v>
      </c>
      <c r="AA6" s="101" t="s">
        <v>12</v>
      </c>
      <c r="AB6" s="101">
        <f>ROUND(((Q6-(AN6*2))*2+(Y6*2)+((S6+U6+T6)*2)*X6)/36*2,4)</f>
        <v>9.9110999999999994</v>
      </c>
      <c r="AC6" s="101"/>
      <c r="AD6" s="101"/>
      <c r="AE6" s="101">
        <f>ROUND(X6*17.5,2)</f>
        <v>52.5</v>
      </c>
      <c r="AF6" s="101">
        <f>10.1333*25</f>
        <v>253.33250000000001</v>
      </c>
      <c r="AG6" s="101"/>
      <c r="AH6" s="101"/>
      <c r="AI6" s="101" t="s">
        <v>24</v>
      </c>
      <c r="AJ6" s="101">
        <v>6</v>
      </c>
      <c r="AK6" s="101">
        <v>241</v>
      </c>
      <c r="AL6" s="101">
        <v>12</v>
      </c>
      <c r="AM6" s="101">
        <v>12</v>
      </c>
      <c r="AN6" s="101">
        <v>1</v>
      </c>
      <c r="AO6" s="101" t="s">
        <v>53</v>
      </c>
      <c r="AP6" s="101"/>
      <c r="AQ6" s="101"/>
      <c r="AR6" s="101"/>
      <c r="AS6" s="19"/>
    </row>
    <row r="7" spans="1:45" ht="45">
      <c r="A7" s="12" t="s">
        <v>73</v>
      </c>
      <c r="B7" s="101" t="s">
        <v>23</v>
      </c>
      <c r="C7" s="101" t="s">
        <v>36</v>
      </c>
      <c r="D7" s="101" t="s">
        <v>24</v>
      </c>
      <c r="E7" s="101"/>
      <c r="F7" s="101"/>
      <c r="G7" s="101" t="s">
        <v>37</v>
      </c>
      <c r="H7" s="101" t="s">
        <v>38</v>
      </c>
      <c r="I7" s="101"/>
      <c r="J7" s="101"/>
      <c r="K7" s="101" t="s">
        <v>29</v>
      </c>
      <c r="L7" s="101" t="s">
        <v>161</v>
      </c>
      <c r="M7" s="101" t="s">
        <v>32</v>
      </c>
      <c r="N7" s="101"/>
      <c r="O7" s="101"/>
      <c r="P7" s="101" t="s">
        <v>65</v>
      </c>
      <c r="Q7" s="101">
        <v>60</v>
      </c>
      <c r="R7" s="101">
        <v>13</v>
      </c>
      <c r="S7" s="101">
        <v>0.2</v>
      </c>
      <c r="T7" s="101">
        <v>0.1</v>
      </c>
      <c r="U7" s="101">
        <v>0.1</v>
      </c>
      <c r="V7" s="101">
        <f t="shared" si="0"/>
        <v>17</v>
      </c>
      <c r="W7" s="101">
        <v>40</v>
      </c>
      <c r="X7" s="101">
        <v>3</v>
      </c>
      <c r="Y7" s="101">
        <v>30</v>
      </c>
      <c r="Z7" s="101">
        <v>15</v>
      </c>
      <c r="AA7" s="101" t="s">
        <v>12</v>
      </c>
      <c r="AB7" s="101">
        <f>ROUND(((Q7-(AN7*2))*2+(Y7*2)+((S7+U7+T7)*2)*X7)/36*2,4)</f>
        <v>9.9110999999999994</v>
      </c>
      <c r="AC7" s="101"/>
      <c r="AD7" s="101"/>
      <c r="AE7" s="101">
        <f>ROUND(X7*17.5,2)</f>
        <v>52.5</v>
      </c>
      <c r="AF7" s="101">
        <f>10.1333*25</f>
        <v>253.33250000000001</v>
      </c>
      <c r="AG7" s="101"/>
      <c r="AH7" s="101"/>
      <c r="AI7" s="101" t="s">
        <v>24</v>
      </c>
      <c r="AJ7" s="101">
        <v>6</v>
      </c>
      <c r="AK7" s="101">
        <v>241</v>
      </c>
      <c r="AL7" s="101">
        <v>12</v>
      </c>
      <c r="AM7" s="101">
        <v>12</v>
      </c>
      <c r="AN7" s="101">
        <v>1</v>
      </c>
      <c r="AO7" s="101" t="s">
        <v>53</v>
      </c>
      <c r="AP7" s="101"/>
      <c r="AQ7" s="101"/>
      <c r="AR7" s="101"/>
      <c r="AS7" s="19"/>
    </row>
    <row r="8" spans="1:45" ht="45">
      <c r="A8" s="12" t="s">
        <v>172</v>
      </c>
      <c r="B8" s="101" t="s">
        <v>23</v>
      </c>
      <c r="C8" s="101" t="s">
        <v>36</v>
      </c>
      <c r="D8" s="101" t="s">
        <v>24</v>
      </c>
      <c r="E8" s="101"/>
      <c r="F8" s="101"/>
      <c r="G8" s="101" t="s">
        <v>37</v>
      </c>
      <c r="H8" s="101" t="s">
        <v>38</v>
      </c>
      <c r="I8" s="101"/>
      <c r="J8" s="101"/>
      <c r="K8" s="101" t="s">
        <v>29</v>
      </c>
      <c r="L8" s="101"/>
      <c r="M8" s="101" t="s">
        <v>32</v>
      </c>
      <c r="N8" s="101"/>
      <c r="O8" s="101"/>
      <c r="P8" s="101" t="s">
        <v>162</v>
      </c>
      <c r="Q8" s="101">
        <v>192</v>
      </c>
      <c r="R8" s="101">
        <v>13</v>
      </c>
      <c r="S8" s="101">
        <v>0.2</v>
      </c>
      <c r="T8" s="101">
        <v>0.1</v>
      </c>
      <c r="U8" s="101">
        <v>0.1</v>
      </c>
      <c r="V8" s="101">
        <f t="shared" si="0"/>
        <v>83</v>
      </c>
      <c r="W8" s="101">
        <v>25</v>
      </c>
      <c r="X8" s="101">
        <v>1</v>
      </c>
      <c r="Y8" s="101">
        <v>20</v>
      </c>
      <c r="Z8" s="101">
        <v>10</v>
      </c>
      <c r="AA8" s="101" t="s">
        <v>12</v>
      </c>
      <c r="AB8" s="101">
        <f>(((((Q8+AL8+AM8)/2)*1.5+((Y8+S8+U8+T8)*X8))/36)/2)*2</f>
        <v>4.7333333333333334</v>
      </c>
      <c r="AC8" s="101"/>
      <c r="AD8" s="101"/>
      <c r="AE8" s="101">
        <f t="shared" ref="AE8:AE15" si="1">ROUND((X8*17.5)/2,2)</f>
        <v>8.75</v>
      </c>
      <c r="AF8" s="101">
        <f>4.73333333333333*25</f>
        <v>118.33333333333324</v>
      </c>
      <c r="AG8" s="101"/>
      <c r="AH8" s="101"/>
      <c r="AI8" s="101" t="s">
        <v>24</v>
      </c>
      <c r="AJ8" s="101">
        <v>15</v>
      </c>
      <c r="AK8" s="101">
        <v>60</v>
      </c>
      <c r="AL8" s="101">
        <v>4</v>
      </c>
      <c r="AM8" s="101">
        <v>4</v>
      </c>
      <c r="AN8" s="101">
        <v>9</v>
      </c>
      <c r="AO8" s="101" t="s">
        <v>53</v>
      </c>
      <c r="AP8" s="101"/>
      <c r="AQ8" s="101"/>
      <c r="AR8" s="101"/>
      <c r="AS8" s="19"/>
    </row>
    <row r="9" spans="1:45" ht="45">
      <c r="A9" s="12" t="s">
        <v>172</v>
      </c>
      <c r="B9" s="101" t="s">
        <v>23</v>
      </c>
      <c r="C9" s="101" t="s">
        <v>36</v>
      </c>
      <c r="D9" s="101" t="s">
        <v>24</v>
      </c>
      <c r="E9" s="101"/>
      <c r="F9" s="101"/>
      <c r="G9" s="101" t="s">
        <v>37</v>
      </c>
      <c r="H9" s="101" t="s">
        <v>38</v>
      </c>
      <c r="I9" s="101"/>
      <c r="J9" s="101"/>
      <c r="K9" s="101" t="s">
        <v>29</v>
      </c>
      <c r="L9" s="101"/>
      <c r="M9" s="101" t="s">
        <v>32</v>
      </c>
      <c r="N9" s="101"/>
      <c r="O9" s="101"/>
      <c r="P9" s="101" t="s">
        <v>162</v>
      </c>
      <c r="Q9" s="101">
        <v>60</v>
      </c>
      <c r="R9" s="101">
        <v>13</v>
      </c>
      <c r="S9" s="101">
        <v>0.2</v>
      </c>
      <c r="T9" s="101">
        <v>0.1</v>
      </c>
      <c r="U9" s="101">
        <v>0.1</v>
      </c>
      <c r="V9" s="101">
        <f t="shared" si="0"/>
        <v>17</v>
      </c>
      <c r="W9" s="101">
        <v>40</v>
      </c>
      <c r="X9" s="101">
        <v>1.5</v>
      </c>
      <c r="Y9" s="101">
        <v>30</v>
      </c>
      <c r="Z9" s="101">
        <v>15</v>
      </c>
      <c r="AA9" s="101" t="s">
        <v>12</v>
      </c>
      <c r="AB9" s="101">
        <f>(((((Q9+AL9+AM9)/2)*2+((Y9+S9+U9+T9)*X9))/36)/2)*2</f>
        <v>3.5999999999999996</v>
      </c>
      <c r="AC9" s="101"/>
      <c r="AD9" s="101"/>
      <c r="AE9" s="101">
        <f t="shared" si="1"/>
        <v>13.13</v>
      </c>
      <c r="AF9" s="101">
        <f>3.6*25</f>
        <v>90</v>
      </c>
      <c r="AG9" s="101"/>
      <c r="AH9" s="101"/>
      <c r="AI9" s="101" t="s">
        <v>24</v>
      </c>
      <c r="AJ9" s="101">
        <v>6</v>
      </c>
      <c r="AK9" s="101">
        <v>241</v>
      </c>
      <c r="AL9" s="101">
        <v>12</v>
      </c>
      <c r="AM9" s="101">
        <v>12</v>
      </c>
      <c r="AN9" s="101">
        <v>1</v>
      </c>
      <c r="AO9" s="101" t="s">
        <v>53</v>
      </c>
      <c r="AP9" s="101"/>
      <c r="AQ9" s="101"/>
      <c r="AR9" s="101"/>
      <c r="AS9" s="19"/>
    </row>
    <row r="10" spans="1:45" ht="45">
      <c r="A10" s="12" t="s">
        <v>172</v>
      </c>
      <c r="B10" s="101" t="s">
        <v>23</v>
      </c>
      <c r="C10" s="101" t="s">
        <v>36</v>
      </c>
      <c r="D10" s="101" t="s">
        <v>24</v>
      </c>
      <c r="E10" s="101"/>
      <c r="F10" s="101"/>
      <c r="G10" s="101" t="s">
        <v>37</v>
      </c>
      <c r="H10" s="101" t="s">
        <v>38</v>
      </c>
      <c r="I10" s="101"/>
      <c r="J10" s="101"/>
      <c r="K10" s="101" t="s">
        <v>29</v>
      </c>
      <c r="L10" s="101"/>
      <c r="M10" s="101" t="s">
        <v>32</v>
      </c>
      <c r="N10" s="101"/>
      <c r="O10" s="101"/>
      <c r="P10" s="101" t="s">
        <v>164</v>
      </c>
      <c r="Q10" s="101">
        <v>60</v>
      </c>
      <c r="R10" s="101">
        <v>13</v>
      </c>
      <c r="S10" s="101">
        <v>0.2</v>
      </c>
      <c r="T10" s="101">
        <v>0.1</v>
      </c>
      <c r="U10" s="101">
        <v>0.1</v>
      </c>
      <c r="V10" s="101">
        <f t="shared" si="0"/>
        <v>17</v>
      </c>
      <c r="W10" s="101">
        <v>40</v>
      </c>
      <c r="X10" s="101">
        <v>1.5</v>
      </c>
      <c r="Y10" s="101">
        <v>30</v>
      </c>
      <c r="Z10" s="101">
        <v>15</v>
      </c>
      <c r="AA10" s="101" t="s">
        <v>12</v>
      </c>
      <c r="AB10" s="101">
        <f>(((Q10+AL10+AM10)/2)*2+((Y10+S10+U10+T10)*X10))/36*2</f>
        <v>7.1999999999999993</v>
      </c>
      <c r="AC10" s="101"/>
      <c r="AD10" s="101"/>
      <c r="AE10" s="101">
        <f t="shared" si="1"/>
        <v>13.13</v>
      </c>
      <c r="AF10" s="101">
        <f>7.2*25</f>
        <v>180</v>
      </c>
      <c r="AG10" s="101"/>
      <c r="AH10" s="101"/>
      <c r="AI10" s="101" t="s">
        <v>24</v>
      </c>
      <c r="AJ10" s="101">
        <v>6</v>
      </c>
      <c r="AK10" s="101">
        <v>241</v>
      </c>
      <c r="AL10" s="101">
        <v>12</v>
      </c>
      <c r="AM10" s="101">
        <v>12</v>
      </c>
      <c r="AN10" s="101">
        <v>1</v>
      </c>
      <c r="AO10" s="101" t="s">
        <v>53</v>
      </c>
      <c r="AP10" s="101"/>
      <c r="AQ10" s="101"/>
      <c r="AR10" s="101"/>
      <c r="AS10" s="19"/>
    </row>
    <row r="11" spans="1:45" ht="75">
      <c r="A11" s="12" t="s">
        <v>172</v>
      </c>
      <c r="B11" s="101" t="s">
        <v>23</v>
      </c>
      <c r="C11" s="101" t="s">
        <v>36</v>
      </c>
      <c r="D11" s="101" t="s">
        <v>24</v>
      </c>
      <c r="E11" s="101" t="s">
        <v>45</v>
      </c>
      <c r="F11" s="101" t="s">
        <v>173</v>
      </c>
      <c r="G11" s="101" t="s">
        <v>37</v>
      </c>
      <c r="H11" s="101" t="s">
        <v>38</v>
      </c>
      <c r="I11" s="101" t="s">
        <v>37</v>
      </c>
      <c r="J11" s="101" t="s">
        <v>38</v>
      </c>
      <c r="K11" s="101" t="s">
        <v>29</v>
      </c>
      <c r="L11" s="101"/>
      <c r="M11" s="101" t="s">
        <v>32</v>
      </c>
      <c r="N11" s="101"/>
      <c r="O11" s="101"/>
      <c r="P11" s="101" t="s">
        <v>164</v>
      </c>
      <c r="Q11" s="101">
        <v>60</v>
      </c>
      <c r="R11" s="101">
        <v>13</v>
      </c>
      <c r="S11" s="101">
        <v>0.2</v>
      </c>
      <c r="T11" s="101">
        <v>0.1</v>
      </c>
      <c r="U11" s="101">
        <v>0.1</v>
      </c>
      <c r="V11" s="101">
        <f t="shared" si="0"/>
        <v>17</v>
      </c>
      <c r="W11" s="101">
        <v>40</v>
      </c>
      <c r="X11" s="101">
        <v>1.5</v>
      </c>
      <c r="Y11" s="101">
        <v>30</v>
      </c>
      <c r="Z11" s="101">
        <v>15</v>
      </c>
      <c r="AA11" s="101" t="s">
        <v>12</v>
      </c>
      <c r="AB11" s="101">
        <f>ROUND(((((Q11+AL11+AM11)/2)*2+((Y11+S11+U11+T11)*X11))/36)*2,2)</f>
        <v>7.2</v>
      </c>
      <c r="AC11" s="101">
        <f>ROUND(((((Q11+AL11+AM11)/2)*2+((Y11+S11+U11+T11)*X11))/36)*2,2)</f>
        <v>7.2</v>
      </c>
      <c r="AD11" s="101"/>
      <c r="AE11" s="101">
        <f t="shared" si="1"/>
        <v>13.13</v>
      </c>
      <c r="AF11" s="101">
        <f>7.2*25</f>
        <v>180</v>
      </c>
      <c r="AG11" s="101">
        <f>7.2*25</f>
        <v>180</v>
      </c>
      <c r="AH11" s="101"/>
      <c r="AI11" s="101" t="s">
        <v>24</v>
      </c>
      <c r="AJ11" s="101">
        <v>6</v>
      </c>
      <c r="AK11" s="101">
        <v>241</v>
      </c>
      <c r="AL11" s="101">
        <v>12</v>
      </c>
      <c r="AM11" s="101">
        <v>12</v>
      </c>
      <c r="AN11" s="101">
        <v>1</v>
      </c>
      <c r="AO11" s="101" t="s">
        <v>53</v>
      </c>
      <c r="AP11" s="101"/>
      <c r="AQ11" s="101"/>
      <c r="AR11" s="101" t="s">
        <v>158</v>
      </c>
      <c r="AS11" s="19"/>
    </row>
    <row r="12" spans="1:45" ht="75">
      <c r="A12" s="12" t="s">
        <v>172</v>
      </c>
      <c r="B12" s="101" t="s">
        <v>23</v>
      </c>
      <c r="C12" s="101" t="s">
        <v>36</v>
      </c>
      <c r="D12" s="101" t="s">
        <v>24</v>
      </c>
      <c r="E12" s="101" t="s">
        <v>45</v>
      </c>
      <c r="F12" s="101" t="s">
        <v>51</v>
      </c>
      <c r="G12" s="101" t="s">
        <v>37</v>
      </c>
      <c r="H12" s="101" t="s">
        <v>38</v>
      </c>
      <c r="I12" s="101" t="s">
        <v>37</v>
      </c>
      <c r="J12" s="101" t="s">
        <v>38</v>
      </c>
      <c r="K12" s="101" t="s">
        <v>29</v>
      </c>
      <c r="L12" s="101"/>
      <c r="M12" s="101" t="s">
        <v>32</v>
      </c>
      <c r="N12" s="101"/>
      <c r="O12" s="101"/>
      <c r="P12" s="101" t="s">
        <v>164</v>
      </c>
      <c r="Q12" s="101">
        <v>60</v>
      </c>
      <c r="R12" s="101">
        <v>13</v>
      </c>
      <c r="S12" s="101">
        <v>0.2</v>
      </c>
      <c r="T12" s="101">
        <v>0.1</v>
      </c>
      <c r="U12" s="101">
        <v>0.1</v>
      </c>
      <c r="V12" s="101">
        <f t="shared" si="0"/>
        <v>17</v>
      </c>
      <c r="W12" s="101">
        <v>40</v>
      </c>
      <c r="X12" s="101">
        <v>1.5</v>
      </c>
      <c r="Y12" s="101">
        <v>30</v>
      </c>
      <c r="Z12" s="101">
        <v>15</v>
      </c>
      <c r="AA12" s="101" t="s">
        <v>12</v>
      </c>
      <c r="AB12" s="101">
        <f>ROUND((((((Q12+AL12+AM12)/2)*2+((Y12+S12+U12+T12)*X12))/36)/2)*2,2)</f>
        <v>3.6</v>
      </c>
      <c r="AC12" s="101">
        <f>ROUND((((((Q12+AL12+AM12)/2)*2+((Y12+S12+U12+T12)*X12))/36)/2)*2,2)</f>
        <v>3.6</v>
      </c>
      <c r="AD12" s="101"/>
      <c r="AE12" s="101">
        <f t="shared" si="1"/>
        <v>13.13</v>
      </c>
      <c r="AF12" s="101">
        <f>3.6*25</f>
        <v>90</v>
      </c>
      <c r="AG12" s="101">
        <f>3.6*25</f>
        <v>90</v>
      </c>
      <c r="AH12" s="101"/>
      <c r="AI12" s="101" t="s">
        <v>24</v>
      </c>
      <c r="AJ12" s="101">
        <v>6</v>
      </c>
      <c r="AK12" s="101">
        <v>241</v>
      </c>
      <c r="AL12" s="101">
        <v>12</v>
      </c>
      <c r="AM12" s="101">
        <v>12</v>
      </c>
      <c r="AN12" s="101">
        <v>1</v>
      </c>
      <c r="AO12" s="101" t="s">
        <v>53</v>
      </c>
      <c r="AP12" s="101"/>
      <c r="AQ12" s="101"/>
      <c r="AR12" s="101" t="s">
        <v>158</v>
      </c>
      <c r="AS12" s="19"/>
    </row>
    <row r="13" spans="1:45" ht="75">
      <c r="A13" s="12" t="s">
        <v>172</v>
      </c>
      <c r="B13" s="101" t="s">
        <v>23</v>
      </c>
      <c r="C13" s="101" t="s">
        <v>36</v>
      </c>
      <c r="D13" s="101" t="s">
        <v>24</v>
      </c>
      <c r="E13" s="101" t="s">
        <v>45</v>
      </c>
      <c r="F13" s="101" t="s">
        <v>173</v>
      </c>
      <c r="G13" s="101" t="s">
        <v>37</v>
      </c>
      <c r="H13" s="101" t="s">
        <v>38</v>
      </c>
      <c r="I13" s="101" t="s">
        <v>37</v>
      </c>
      <c r="J13" s="101" t="s">
        <v>38</v>
      </c>
      <c r="K13" s="101" t="s">
        <v>29</v>
      </c>
      <c r="L13" s="101"/>
      <c r="M13" s="101" t="s">
        <v>32</v>
      </c>
      <c r="N13" s="101"/>
      <c r="O13" s="101"/>
      <c r="P13" s="101" t="s">
        <v>164</v>
      </c>
      <c r="Q13" s="101">
        <v>60</v>
      </c>
      <c r="R13" s="101">
        <v>13</v>
      </c>
      <c r="S13" s="101">
        <v>0.2</v>
      </c>
      <c r="T13" s="101">
        <v>0.1</v>
      </c>
      <c r="U13" s="101">
        <v>0.1</v>
      </c>
      <c r="V13" s="101">
        <f t="shared" si="0"/>
        <v>17</v>
      </c>
      <c r="W13" s="101">
        <v>40</v>
      </c>
      <c r="X13" s="101">
        <v>1.5</v>
      </c>
      <c r="Y13" s="101">
        <v>30</v>
      </c>
      <c r="Z13" s="101">
        <v>15</v>
      </c>
      <c r="AA13" s="101" t="s">
        <v>12</v>
      </c>
      <c r="AB13" s="101">
        <f>ROUND(((((Q13+AL13+AM13)/2)*2+((Y13+S13+U13+T13)*X13))/36)*2,2)</f>
        <v>7.2</v>
      </c>
      <c r="AC13" s="101">
        <f>ROUND(((((Q13+AL13+AM13)/2)*2+((Y13+S13+U13+T13)*X13))/36)*2,2)</f>
        <v>7.2</v>
      </c>
      <c r="AD13" s="101"/>
      <c r="AE13" s="101">
        <f t="shared" si="1"/>
        <v>13.13</v>
      </c>
      <c r="AF13" s="101">
        <f>7.2*25</f>
        <v>180</v>
      </c>
      <c r="AG13" s="101">
        <f>7.2*25</f>
        <v>180</v>
      </c>
      <c r="AH13" s="101"/>
      <c r="AI13" s="101" t="s">
        <v>24</v>
      </c>
      <c r="AJ13" s="101">
        <v>6</v>
      </c>
      <c r="AK13" s="101">
        <v>241</v>
      </c>
      <c r="AL13" s="101">
        <v>12</v>
      </c>
      <c r="AM13" s="101">
        <v>12</v>
      </c>
      <c r="AN13" s="101">
        <v>1</v>
      </c>
      <c r="AO13" s="101" t="s">
        <v>53</v>
      </c>
      <c r="AP13" s="101"/>
      <c r="AQ13" s="101"/>
      <c r="AR13" s="101" t="s">
        <v>158</v>
      </c>
      <c r="AS13" s="19"/>
    </row>
    <row r="14" spans="1:45" ht="75">
      <c r="A14" s="12" t="s">
        <v>172</v>
      </c>
      <c r="B14" s="101" t="s">
        <v>23</v>
      </c>
      <c r="C14" s="101" t="s">
        <v>36</v>
      </c>
      <c r="D14" s="101" t="s">
        <v>24</v>
      </c>
      <c r="E14" s="101" t="s">
        <v>45</v>
      </c>
      <c r="F14" s="101" t="s">
        <v>51</v>
      </c>
      <c r="G14" s="101" t="s">
        <v>37</v>
      </c>
      <c r="H14" s="101" t="s">
        <v>38</v>
      </c>
      <c r="I14" s="101" t="s">
        <v>37</v>
      </c>
      <c r="J14" s="101" t="s">
        <v>38</v>
      </c>
      <c r="K14" s="101" t="s">
        <v>29</v>
      </c>
      <c r="L14" s="101"/>
      <c r="M14" s="101" t="s">
        <v>32</v>
      </c>
      <c r="N14" s="101"/>
      <c r="O14" s="101"/>
      <c r="P14" s="101" t="s">
        <v>164</v>
      </c>
      <c r="Q14" s="101">
        <v>60</v>
      </c>
      <c r="R14" s="101">
        <v>13</v>
      </c>
      <c r="S14" s="101">
        <v>0.2</v>
      </c>
      <c r="T14" s="101">
        <v>0.1</v>
      </c>
      <c r="U14" s="101">
        <v>0.1</v>
      </c>
      <c r="V14" s="101">
        <f t="shared" si="0"/>
        <v>17</v>
      </c>
      <c r="W14" s="101">
        <v>40</v>
      </c>
      <c r="X14" s="101">
        <v>1.5</v>
      </c>
      <c r="Y14" s="101">
        <v>30</v>
      </c>
      <c r="Z14" s="101">
        <v>15</v>
      </c>
      <c r="AA14" s="101" t="s">
        <v>12</v>
      </c>
      <c r="AB14" s="101">
        <f>ROUND((((((Q14+AL14+AM14)/2)*2+((Y14+S14+U14+T14)*X14))/36)/2)*2,2)</f>
        <v>3.6</v>
      </c>
      <c r="AC14" s="101">
        <f>ROUND((((((Q14+AL14+AM14)/2)*2+((Y14+S14+U14+T14)*X14))/36)/2)*2,2)</f>
        <v>3.6</v>
      </c>
      <c r="AD14" s="101"/>
      <c r="AE14" s="101">
        <f t="shared" si="1"/>
        <v>13.13</v>
      </c>
      <c r="AF14" s="101">
        <f>3.6*25</f>
        <v>90</v>
      </c>
      <c r="AG14" s="101">
        <f>3.6*25</f>
        <v>90</v>
      </c>
      <c r="AH14" s="101"/>
      <c r="AI14" s="101" t="s">
        <v>24</v>
      </c>
      <c r="AJ14" s="101">
        <v>6</v>
      </c>
      <c r="AK14" s="101">
        <v>241</v>
      </c>
      <c r="AL14" s="101">
        <v>12</v>
      </c>
      <c r="AM14" s="101">
        <v>12</v>
      </c>
      <c r="AN14" s="101">
        <v>1</v>
      </c>
      <c r="AO14" s="101" t="s">
        <v>53</v>
      </c>
      <c r="AP14" s="101"/>
      <c r="AQ14" s="101"/>
      <c r="AR14" s="101" t="s">
        <v>158</v>
      </c>
      <c r="AS14" s="19"/>
    </row>
    <row r="15" spans="1:45" ht="60">
      <c r="A15" s="12" t="s">
        <v>172</v>
      </c>
      <c r="B15" s="101" t="s">
        <v>23</v>
      </c>
      <c r="C15" s="101" t="s">
        <v>36</v>
      </c>
      <c r="D15" s="101" t="s">
        <v>24</v>
      </c>
      <c r="E15" s="101" t="s">
        <v>45</v>
      </c>
      <c r="F15" s="101" t="s">
        <v>55</v>
      </c>
      <c r="G15" s="101" t="s">
        <v>37</v>
      </c>
      <c r="H15" s="101" t="s">
        <v>38</v>
      </c>
      <c r="I15" s="101" t="s">
        <v>37</v>
      </c>
      <c r="J15" s="101" t="s">
        <v>38</v>
      </c>
      <c r="K15" s="101" t="s">
        <v>29</v>
      </c>
      <c r="L15" s="101"/>
      <c r="M15" s="101" t="s">
        <v>32</v>
      </c>
      <c r="N15" s="101"/>
      <c r="O15" s="101"/>
      <c r="P15" s="101" t="s">
        <v>164</v>
      </c>
      <c r="Q15" s="101">
        <v>60</v>
      </c>
      <c r="R15" s="101">
        <v>13</v>
      </c>
      <c r="S15" s="101">
        <v>0.2</v>
      </c>
      <c r="T15" s="101">
        <v>0.1</v>
      </c>
      <c r="U15" s="101">
        <v>0.1</v>
      </c>
      <c r="V15" s="101">
        <f t="shared" si="0"/>
        <v>17</v>
      </c>
      <c r="W15" s="101">
        <v>40</v>
      </c>
      <c r="X15" s="101">
        <v>1.5</v>
      </c>
      <c r="Y15" s="101">
        <v>30</v>
      </c>
      <c r="Z15" s="101">
        <v>15</v>
      </c>
      <c r="AA15" s="101" t="s">
        <v>12</v>
      </c>
      <c r="AB15" s="101">
        <f>(((Q15+AL15+AM15)/2)*2+((Y15+S15+U15+T15)*X15))/36*2</f>
        <v>7.1999999999999993</v>
      </c>
      <c r="AC15" s="101"/>
      <c r="AD15" s="101"/>
      <c r="AE15" s="101">
        <f t="shared" si="1"/>
        <v>13.13</v>
      </c>
      <c r="AF15" s="101"/>
      <c r="AG15" s="101"/>
      <c r="AH15" s="101"/>
      <c r="AI15" s="101" t="s">
        <v>24</v>
      </c>
      <c r="AJ15" s="101">
        <v>6</v>
      </c>
      <c r="AK15" s="101">
        <v>241</v>
      </c>
      <c r="AL15" s="101">
        <v>12</v>
      </c>
      <c r="AM15" s="101">
        <v>12</v>
      </c>
      <c r="AN15" s="101">
        <v>1</v>
      </c>
      <c r="AO15" s="101" t="s">
        <v>53</v>
      </c>
      <c r="AP15" s="101"/>
      <c r="AQ15" s="101"/>
      <c r="AR15" s="101"/>
      <c r="AS15" s="19"/>
    </row>
    <row r="16" spans="1:45" ht="60">
      <c r="A16" s="12" t="s">
        <v>172</v>
      </c>
      <c r="B16" s="101" t="s">
        <v>23</v>
      </c>
      <c r="C16" s="101" t="s">
        <v>36</v>
      </c>
      <c r="D16" s="101" t="s">
        <v>24</v>
      </c>
      <c r="E16" s="101" t="s">
        <v>45</v>
      </c>
      <c r="F16" s="101" t="s">
        <v>55</v>
      </c>
      <c r="G16" s="101" t="s">
        <v>37</v>
      </c>
      <c r="H16" s="101" t="s">
        <v>38</v>
      </c>
      <c r="I16" s="101" t="s">
        <v>37</v>
      </c>
      <c r="J16" s="101" t="s">
        <v>38</v>
      </c>
      <c r="K16" s="101" t="s">
        <v>29</v>
      </c>
      <c r="L16" s="101"/>
      <c r="M16" s="101" t="s">
        <v>32</v>
      </c>
      <c r="N16" s="101"/>
      <c r="O16" s="101"/>
      <c r="P16" s="101" t="s">
        <v>162</v>
      </c>
      <c r="Q16" s="101">
        <v>60</v>
      </c>
      <c r="R16" s="101">
        <v>13</v>
      </c>
      <c r="S16" s="101">
        <v>0.2</v>
      </c>
      <c r="T16" s="101">
        <v>0.1</v>
      </c>
      <c r="U16" s="101">
        <v>0.1</v>
      </c>
      <c r="V16" s="101">
        <f t="shared" si="0"/>
        <v>17</v>
      </c>
      <c r="W16" s="101">
        <v>40</v>
      </c>
      <c r="X16" s="101">
        <v>1.5</v>
      </c>
      <c r="Y16" s="101">
        <v>30</v>
      </c>
      <c r="Z16" s="101">
        <v>15</v>
      </c>
      <c r="AA16" s="101" t="s">
        <v>12</v>
      </c>
      <c r="AB16" s="101">
        <f>(((((Q16+AL16+AM16)/2)*2+((Y16+S16+U16+T16)*X16))/36)/2)*2</f>
        <v>3.5999999999999996</v>
      </c>
      <c r="AC16" s="101"/>
      <c r="AD16" s="101"/>
      <c r="AE16" s="101"/>
      <c r="AF16" s="101"/>
      <c r="AG16" s="101"/>
      <c r="AH16" s="101"/>
      <c r="AI16" s="101" t="s">
        <v>24</v>
      </c>
      <c r="AJ16" s="101">
        <v>6</v>
      </c>
      <c r="AK16" s="101">
        <v>241</v>
      </c>
      <c r="AL16" s="101">
        <v>12</v>
      </c>
      <c r="AM16" s="101">
        <v>12</v>
      </c>
      <c r="AN16" s="101">
        <v>1</v>
      </c>
      <c r="AO16" s="101" t="s">
        <v>53</v>
      </c>
      <c r="AP16" s="101"/>
      <c r="AQ16" s="101"/>
      <c r="AR16" s="101"/>
      <c r="AS16" s="19"/>
    </row>
    <row r="17" spans="1:45" ht="75">
      <c r="A17" s="12" t="s">
        <v>172</v>
      </c>
      <c r="B17" s="101" t="s">
        <v>23</v>
      </c>
      <c r="C17" s="101" t="s">
        <v>36</v>
      </c>
      <c r="D17" s="101" t="s">
        <v>24</v>
      </c>
      <c r="E17" s="101" t="s">
        <v>45</v>
      </c>
      <c r="F17" s="101" t="s">
        <v>55</v>
      </c>
      <c r="G17" s="101" t="s">
        <v>37</v>
      </c>
      <c r="H17" s="101" t="s">
        <v>38</v>
      </c>
      <c r="I17" s="101" t="s">
        <v>37</v>
      </c>
      <c r="J17" s="101" t="s">
        <v>38</v>
      </c>
      <c r="K17" s="101" t="s">
        <v>29</v>
      </c>
      <c r="L17" s="101"/>
      <c r="M17" s="101" t="s">
        <v>32</v>
      </c>
      <c r="N17" s="101"/>
      <c r="O17" s="101"/>
      <c r="P17" s="101" t="s">
        <v>162</v>
      </c>
      <c r="Q17" s="101">
        <v>60</v>
      </c>
      <c r="R17" s="101">
        <v>13</v>
      </c>
      <c r="S17" s="101">
        <v>0.2</v>
      </c>
      <c r="T17" s="101">
        <v>0.1</v>
      </c>
      <c r="U17" s="101">
        <v>0.1</v>
      </c>
      <c r="V17" s="101">
        <f t="shared" si="0"/>
        <v>17</v>
      </c>
      <c r="W17" s="101">
        <v>40</v>
      </c>
      <c r="X17" s="101">
        <v>1.5</v>
      </c>
      <c r="Y17" s="101">
        <v>30</v>
      </c>
      <c r="Z17" s="101">
        <v>15</v>
      </c>
      <c r="AA17" s="101" t="s">
        <v>12</v>
      </c>
      <c r="AB17" s="101">
        <f>ROUND(((((((Q17+AL17+AM17)/2)*2+((Y17+S17+U17+T17)*1.5))/36)/2)/2)*2,2)</f>
        <v>1.72</v>
      </c>
      <c r="AC17" s="101">
        <f>ROUND(((((((Q17+AL17+AM17)/2)*2+((Y17+S17+U17+T17)*1.5))/36)/2)/2)*2,2)</f>
        <v>1.72</v>
      </c>
      <c r="AD17" s="101"/>
      <c r="AE17" s="101">
        <f t="shared" ref="AE17:AE41" si="2">ROUND((X17*17.5)/2,2)</f>
        <v>13.13</v>
      </c>
      <c r="AF17" s="101">
        <f>1.72*25</f>
        <v>43</v>
      </c>
      <c r="AG17" s="101">
        <f>1.72*25</f>
        <v>43</v>
      </c>
      <c r="AH17" s="101"/>
      <c r="AI17" s="101" t="s">
        <v>24</v>
      </c>
      <c r="AJ17" s="101">
        <v>10</v>
      </c>
      <c r="AK17" s="101">
        <v>241</v>
      </c>
      <c r="AL17" s="101">
        <v>9</v>
      </c>
      <c r="AM17" s="101">
        <v>9</v>
      </c>
      <c r="AN17" s="101">
        <v>4</v>
      </c>
      <c r="AO17" s="101" t="s">
        <v>53</v>
      </c>
      <c r="AP17" s="101"/>
      <c r="AQ17" s="101"/>
      <c r="AR17" s="101" t="s">
        <v>158</v>
      </c>
      <c r="AS17" s="19"/>
    </row>
    <row r="18" spans="1:45" ht="75">
      <c r="A18" s="12" t="s">
        <v>172</v>
      </c>
      <c r="B18" s="101" t="s">
        <v>23</v>
      </c>
      <c r="C18" s="101" t="s">
        <v>36</v>
      </c>
      <c r="D18" s="101" t="s">
        <v>24</v>
      </c>
      <c r="E18" s="101" t="s">
        <v>45</v>
      </c>
      <c r="F18" s="101" t="s">
        <v>55</v>
      </c>
      <c r="G18" s="101" t="s">
        <v>37</v>
      </c>
      <c r="H18" s="101" t="s">
        <v>38</v>
      </c>
      <c r="I18" s="101" t="s">
        <v>37</v>
      </c>
      <c r="J18" s="101" t="s">
        <v>38</v>
      </c>
      <c r="K18" s="101" t="s">
        <v>29</v>
      </c>
      <c r="L18" s="101"/>
      <c r="M18" s="101" t="s">
        <v>32</v>
      </c>
      <c r="N18" s="101"/>
      <c r="O18" s="101"/>
      <c r="P18" s="101" t="s">
        <v>164</v>
      </c>
      <c r="Q18" s="101">
        <v>60</v>
      </c>
      <c r="R18" s="101">
        <v>13</v>
      </c>
      <c r="S18" s="101">
        <v>0.2</v>
      </c>
      <c r="T18" s="101">
        <v>0.1</v>
      </c>
      <c r="U18" s="101">
        <v>0.1</v>
      </c>
      <c r="V18" s="101">
        <f t="shared" si="0"/>
        <v>17</v>
      </c>
      <c r="W18" s="101">
        <v>40</v>
      </c>
      <c r="X18" s="101">
        <v>1.5</v>
      </c>
      <c r="Y18" s="101">
        <v>30</v>
      </c>
      <c r="Z18" s="101">
        <v>15</v>
      </c>
      <c r="AA18" s="101" t="s">
        <v>12</v>
      </c>
      <c r="AB18" s="101">
        <f>ROUND((((((Q18+AL18+AM18)/2)*2+((Y18+S18+U18+T18)*1.5))/36)/2)*2,2)</f>
        <v>3.43</v>
      </c>
      <c r="AC18" s="101">
        <f>ROUND((((((Q18+AL18+AM18)/2)*2+((Y18+S18+U18+T18)*1.5))/36)/2)*2,2)</f>
        <v>3.43</v>
      </c>
      <c r="AD18" s="101"/>
      <c r="AE18" s="101">
        <f t="shared" si="2"/>
        <v>13.13</v>
      </c>
      <c r="AF18" s="101">
        <f>3.43*25</f>
        <v>85.75</v>
      </c>
      <c r="AG18" s="101">
        <f>3.43*25</f>
        <v>85.75</v>
      </c>
      <c r="AH18" s="101"/>
      <c r="AI18" s="101" t="s">
        <v>24</v>
      </c>
      <c r="AJ18" s="101">
        <v>10</v>
      </c>
      <c r="AK18" s="101">
        <v>241</v>
      </c>
      <c r="AL18" s="101">
        <v>9</v>
      </c>
      <c r="AM18" s="101">
        <v>9</v>
      </c>
      <c r="AN18" s="101">
        <v>4</v>
      </c>
      <c r="AO18" s="101" t="s">
        <v>53</v>
      </c>
      <c r="AP18" s="101"/>
      <c r="AQ18" s="101"/>
      <c r="AR18" s="101" t="s">
        <v>158</v>
      </c>
      <c r="AS18" s="19"/>
    </row>
    <row r="19" spans="1:45" ht="45">
      <c r="A19" s="12" t="s">
        <v>172</v>
      </c>
      <c r="B19" s="101" t="s">
        <v>23</v>
      </c>
      <c r="C19" s="101" t="s">
        <v>36</v>
      </c>
      <c r="D19" s="101" t="s">
        <v>24</v>
      </c>
      <c r="E19" s="101"/>
      <c r="F19" s="101"/>
      <c r="G19" s="101" t="s">
        <v>37</v>
      </c>
      <c r="H19" s="101" t="s">
        <v>38</v>
      </c>
      <c r="I19" s="101"/>
      <c r="J19" s="101"/>
      <c r="K19" s="101" t="s">
        <v>52</v>
      </c>
      <c r="L19" s="101"/>
      <c r="M19" s="101" t="s">
        <v>32</v>
      </c>
      <c r="N19" s="101"/>
      <c r="O19" s="101"/>
      <c r="P19" s="101" t="s">
        <v>164</v>
      </c>
      <c r="Q19" s="101">
        <v>60</v>
      </c>
      <c r="R19" s="101">
        <v>13</v>
      </c>
      <c r="S19" s="101">
        <v>0.2</v>
      </c>
      <c r="T19" s="101">
        <v>0.1</v>
      </c>
      <c r="U19" s="101">
        <v>0.1</v>
      </c>
      <c r="V19" s="101">
        <f t="shared" si="0"/>
        <v>17</v>
      </c>
      <c r="W19" s="101">
        <v>40</v>
      </c>
      <c r="X19" s="101">
        <v>1.5</v>
      </c>
      <c r="Y19" s="101">
        <v>30</v>
      </c>
      <c r="Z19" s="101">
        <v>15</v>
      </c>
      <c r="AA19" s="101" t="s">
        <v>12</v>
      </c>
      <c r="AB19" s="101">
        <f>(((Q19+AL19+AM19)/2)*2+((Y19+S19+U19+T19)*X19))/36</f>
        <v>3.4333333333333331</v>
      </c>
      <c r="AC19" s="101"/>
      <c r="AD19" s="101"/>
      <c r="AE19" s="101">
        <f t="shared" si="2"/>
        <v>13.13</v>
      </c>
      <c r="AF19" s="101">
        <f>3.43333333333333*25</f>
        <v>85.833333333333258</v>
      </c>
      <c r="AG19" s="101"/>
      <c r="AH19" s="101"/>
      <c r="AI19" s="101" t="s">
        <v>24</v>
      </c>
      <c r="AJ19" s="101">
        <v>10</v>
      </c>
      <c r="AK19" s="101">
        <v>241</v>
      </c>
      <c r="AL19" s="101">
        <v>9</v>
      </c>
      <c r="AM19" s="101">
        <v>9</v>
      </c>
      <c r="AN19" s="101">
        <v>4</v>
      </c>
      <c r="AO19" s="101" t="s">
        <v>53</v>
      </c>
      <c r="AP19" s="101"/>
      <c r="AQ19" s="101"/>
      <c r="AR19" s="101"/>
      <c r="AS19" s="19"/>
    </row>
    <row r="20" spans="1:45" ht="75">
      <c r="A20" s="12" t="s">
        <v>172</v>
      </c>
      <c r="B20" s="101" t="s">
        <v>23</v>
      </c>
      <c r="C20" s="101" t="s">
        <v>36</v>
      </c>
      <c r="D20" s="101" t="s">
        <v>24</v>
      </c>
      <c r="E20" s="101" t="s">
        <v>45</v>
      </c>
      <c r="F20" s="101" t="s">
        <v>173</v>
      </c>
      <c r="G20" s="101" t="s">
        <v>37</v>
      </c>
      <c r="H20" s="101" t="s">
        <v>38</v>
      </c>
      <c r="I20" s="101" t="s">
        <v>37</v>
      </c>
      <c r="J20" s="101" t="s">
        <v>38</v>
      </c>
      <c r="K20" s="101" t="s">
        <v>52</v>
      </c>
      <c r="L20" s="101"/>
      <c r="M20" s="101" t="s">
        <v>32</v>
      </c>
      <c r="N20" s="101"/>
      <c r="O20" s="101"/>
      <c r="P20" s="101" t="s">
        <v>164</v>
      </c>
      <c r="Q20" s="101">
        <v>60</v>
      </c>
      <c r="R20" s="101">
        <v>13</v>
      </c>
      <c r="S20" s="101">
        <v>0.2</v>
      </c>
      <c r="T20" s="101">
        <v>0.1</v>
      </c>
      <c r="U20" s="101">
        <v>0.1</v>
      </c>
      <c r="V20" s="101">
        <f t="shared" si="0"/>
        <v>17</v>
      </c>
      <c r="W20" s="101">
        <v>40</v>
      </c>
      <c r="X20" s="101">
        <v>1.5</v>
      </c>
      <c r="Y20" s="101">
        <v>30</v>
      </c>
      <c r="Z20" s="101">
        <v>15</v>
      </c>
      <c r="AA20" s="101" t="s">
        <v>12</v>
      </c>
      <c r="AB20" s="101">
        <f>ROUND(((((Q20+AL20+AM20)/2)*2+((Y20+S20+U20+T20)*X20))/36),2)</f>
        <v>3.43</v>
      </c>
      <c r="AC20" s="101">
        <f>ROUND(((((Q20+AL20+AM20)/2)*2+((Y20+S20+U20+T20)*X20))/36),2)</f>
        <v>3.43</v>
      </c>
      <c r="AD20" s="101"/>
      <c r="AE20" s="101">
        <f t="shared" si="2"/>
        <v>13.13</v>
      </c>
      <c r="AF20" s="101">
        <f>3.43*25</f>
        <v>85.75</v>
      </c>
      <c r="AG20" s="101">
        <f>3.43*25</f>
        <v>85.75</v>
      </c>
      <c r="AH20" s="101"/>
      <c r="AI20" s="101" t="s">
        <v>24</v>
      </c>
      <c r="AJ20" s="101">
        <v>10</v>
      </c>
      <c r="AK20" s="101">
        <v>241</v>
      </c>
      <c r="AL20" s="101">
        <v>9</v>
      </c>
      <c r="AM20" s="101">
        <v>9</v>
      </c>
      <c r="AN20" s="101">
        <v>4</v>
      </c>
      <c r="AO20" s="101" t="s">
        <v>53</v>
      </c>
      <c r="AP20" s="101"/>
      <c r="AQ20" s="101"/>
      <c r="AR20" s="101" t="s">
        <v>158</v>
      </c>
      <c r="AS20" s="19"/>
    </row>
    <row r="21" spans="1:45" ht="75">
      <c r="A21" s="12" t="s">
        <v>172</v>
      </c>
      <c r="B21" s="101" t="s">
        <v>23</v>
      </c>
      <c r="C21" s="101" t="s">
        <v>36</v>
      </c>
      <c r="D21" s="101" t="s">
        <v>24</v>
      </c>
      <c r="E21" s="101" t="s">
        <v>45</v>
      </c>
      <c r="F21" s="101" t="s">
        <v>51</v>
      </c>
      <c r="G21" s="101" t="s">
        <v>37</v>
      </c>
      <c r="H21" s="101" t="s">
        <v>38</v>
      </c>
      <c r="I21" s="101" t="s">
        <v>37</v>
      </c>
      <c r="J21" s="101" t="s">
        <v>38</v>
      </c>
      <c r="K21" s="101" t="s">
        <v>52</v>
      </c>
      <c r="L21" s="101"/>
      <c r="M21" s="101" t="s">
        <v>32</v>
      </c>
      <c r="N21" s="101"/>
      <c r="O21" s="101"/>
      <c r="P21" s="101" t="s">
        <v>164</v>
      </c>
      <c r="Q21" s="101">
        <v>60</v>
      </c>
      <c r="R21" s="101">
        <v>13</v>
      </c>
      <c r="S21" s="101">
        <v>0.2</v>
      </c>
      <c r="T21" s="101">
        <v>0.1</v>
      </c>
      <c r="U21" s="101">
        <v>0.1</v>
      </c>
      <c r="V21" s="101">
        <f t="shared" si="0"/>
        <v>17</v>
      </c>
      <c r="W21" s="101">
        <v>40</v>
      </c>
      <c r="X21" s="101">
        <v>1.5</v>
      </c>
      <c r="Y21" s="101">
        <v>30</v>
      </c>
      <c r="Z21" s="101">
        <v>15</v>
      </c>
      <c r="AA21" s="101" t="s">
        <v>12</v>
      </c>
      <c r="AB21" s="101">
        <f>ROUND((((((Q21+AL21+AM21)/2)*2+((Y21+S21+U21+T21)*X21))/36)/2),2)</f>
        <v>1.72</v>
      </c>
      <c r="AC21" s="101">
        <f>ROUND((((((Q21+AL21+AM21)/2)*2+((Y21+S21+U21+T21)*X21))/36)/2),2)</f>
        <v>1.72</v>
      </c>
      <c r="AD21" s="101"/>
      <c r="AE21" s="101">
        <f t="shared" si="2"/>
        <v>13.13</v>
      </c>
      <c r="AF21" s="101">
        <f>1.72*25</f>
        <v>43</v>
      </c>
      <c r="AG21" s="101">
        <f>1.72*25</f>
        <v>43</v>
      </c>
      <c r="AH21" s="101"/>
      <c r="AI21" s="101" t="s">
        <v>24</v>
      </c>
      <c r="AJ21" s="101">
        <v>10</v>
      </c>
      <c r="AK21" s="101">
        <v>241</v>
      </c>
      <c r="AL21" s="101">
        <v>9</v>
      </c>
      <c r="AM21" s="101">
        <v>9</v>
      </c>
      <c r="AN21" s="101">
        <v>4</v>
      </c>
      <c r="AO21" s="101" t="s">
        <v>53</v>
      </c>
      <c r="AP21" s="101"/>
      <c r="AQ21" s="101"/>
      <c r="AR21" s="101" t="s">
        <v>158</v>
      </c>
      <c r="AS21" s="19"/>
    </row>
    <row r="22" spans="1:45" ht="75">
      <c r="A22" s="12" t="s">
        <v>172</v>
      </c>
      <c r="B22" s="101" t="s">
        <v>23</v>
      </c>
      <c r="C22" s="101" t="s">
        <v>36</v>
      </c>
      <c r="D22" s="101" t="s">
        <v>24</v>
      </c>
      <c r="E22" s="101" t="s">
        <v>45</v>
      </c>
      <c r="F22" s="101" t="s">
        <v>55</v>
      </c>
      <c r="G22" s="101" t="s">
        <v>37</v>
      </c>
      <c r="H22" s="101" t="s">
        <v>38</v>
      </c>
      <c r="I22" s="101" t="s">
        <v>37</v>
      </c>
      <c r="J22" s="101" t="s">
        <v>38</v>
      </c>
      <c r="K22" s="101" t="s">
        <v>52</v>
      </c>
      <c r="L22" s="101"/>
      <c r="M22" s="101" t="s">
        <v>32</v>
      </c>
      <c r="N22" s="101"/>
      <c r="O22" s="101"/>
      <c r="P22" s="101" t="s">
        <v>164</v>
      </c>
      <c r="Q22" s="101">
        <v>60</v>
      </c>
      <c r="R22" s="101">
        <v>13</v>
      </c>
      <c r="S22" s="101">
        <v>0.2</v>
      </c>
      <c r="T22" s="101">
        <v>0.1</v>
      </c>
      <c r="U22" s="101">
        <v>0.1</v>
      </c>
      <c r="V22" s="101">
        <f t="shared" si="0"/>
        <v>17</v>
      </c>
      <c r="W22" s="101">
        <v>40</v>
      </c>
      <c r="X22" s="101">
        <v>1.5</v>
      </c>
      <c r="Y22" s="101">
        <v>30</v>
      </c>
      <c r="Z22" s="101">
        <v>15</v>
      </c>
      <c r="AA22" s="101" t="s">
        <v>12</v>
      </c>
      <c r="AB22" s="101">
        <f>ROUND((((((Q22+AL22+AM22)/2)*2+((Y22+S22+U22+T22)*1.5))/36)/2),2)</f>
        <v>1.72</v>
      </c>
      <c r="AC22" s="101">
        <f>ROUND((((((Q22+AL22+AM22)/2)*2+((Y22+S22+U22+T22)*1.5))/36)/2),2)</f>
        <v>1.72</v>
      </c>
      <c r="AD22" s="101"/>
      <c r="AE22" s="101">
        <f t="shared" si="2"/>
        <v>13.13</v>
      </c>
      <c r="AF22" s="101">
        <f>1.72*25</f>
        <v>43</v>
      </c>
      <c r="AG22" s="101">
        <f>1.72*25</f>
        <v>43</v>
      </c>
      <c r="AH22" s="101"/>
      <c r="AI22" s="101" t="s">
        <v>24</v>
      </c>
      <c r="AJ22" s="101">
        <v>10</v>
      </c>
      <c r="AK22" s="101">
        <v>241</v>
      </c>
      <c r="AL22" s="101">
        <v>9</v>
      </c>
      <c r="AM22" s="101">
        <v>9</v>
      </c>
      <c r="AN22" s="101">
        <v>4</v>
      </c>
      <c r="AO22" s="101" t="s">
        <v>53</v>
      </c>
      <c r="AP22" s="101"/>
      <c r="AQ22" s="101"/>
      <c r="AR22" s="101" t="s">
        <v>158</v>
      </c>
      <c r="AS22" s="19"/>
    </row>
    <row r="23" spans="1:45" ht="45">
      <c r="A23" s="12" t="s">
        <v>172</v>
      </c>
      <c r="B23" s="101" t="s">
        <v>23</v>
      </c>
      <c r="C23" s="101" t="s">
        <v>36</v>
      </c>
      <c r="D23" s="101" t="s">
        <v>24</v>
      </c>
      <c r="E23" s="101"/>
      <c r="F23" s="101"/>
      <c r="G23" s="101" t="s">
        <v>37</v>
      </c>
      <c r="H23" s="101" t="s">
        <v>38</v>
      </c>
      <c r="I23" s="101"/>
      <c r="J23" s="101"/>
      <c r="K23" s="101" t="s">
        <v>52</v>
      </c>
      <c r="L23" s="101"/>
      <c r="M23" s="101" t="s">
        <v>32</v>
      </c>
      <c r="N23" s="101"/>
      <c r="O23" s="101"/>
      <c r="P23" s="101" t="s">
        <v>164</v>
      </c>
      <c r="Q23" s="101">
        <v>60</v>
      </c>
      <c r="R23" s="101">
        <v>13</v>
      </c>
      <c r="S23" s="101">
        <v>0.2</v>
      </c>
      <c r="T23" s="101">
        <v>0.1</v>
      </c>
      <c r="U23" s="101">
        <v>0.1</v>
      </c>
      <c r="V23" s="101">
        <f t="shared" si="0"/>
        <v>17</v>
      </c>
      <c r="W23" s="101">
        <v>40</v>
      </c>
      <c r="X23" s="101">
        <v>1.5</v>
      </c>
      <c r="Y23" s="101">
        <v>30</v>
      </c>
      <c r="Z23" s="101">
        <v>15</v>
      </c>
      <c r="AA23" s="101" t="s">
        <v>12</v>
      </c>
      <c r="AB23" s="101">
        <f>(((Q23+AL23+AM23)/2)*2+((Y23+S23+U23+T23)*X23))/36</f>
        <v>3.5999999999999996</v>
      </c>
      <c r="AC23" s="101"/>
      <c r="AD23" s="101"/>
      <c r="AE23" s="101">
        <f t="shared" si="2"/>
        <v>13.13</v>
      </c>
      <c r="AF23" s="101">
        <f>3.6*25</f>
        <v>90</v>
      </c>
      <c r="AG23" s="101"/>
      <c r="AH23" s="101"/>
      <c r="AI23" s="101" t="s">
        <v>24</v>
      </c>
      <c r="AJ23" s="101">
        <v>6</v>
      </c>
      <c r="AK23" s="101">
        <v>241</v>
      </c>
      <c r="AL23" s="101">
        <v>12</v>
      </c>
      <c r="AM23" s="101">
        <v>12</v>
      </c>
      <c r="AN23" s="101">
        <v>1</v>
      </c>
      <c r="AO23" s="101" t="s">
        <v>56</v>
      </c>
      <c r="AP23" s="101"/>
      <c r="AQ23" s="101"/>
      <c r="AR23" s="101"/>
      <c r="AS23" s="19"/>
    </row>
    <row r="24" spans="1:45" ht="45">
      <c r="A24" s="12" t="s">
        <v>172</v>
      </c>
      <c r="B24" s="101" t="s">
        <v>23</v>
      </c>
      <c r="C24" s="101" t="s">
        <v>36</v>
      </c>
      <c r="D24" s="101" t="s">
        <v>24</v>
      </c>
      <c r="E24" s="101"/>
      <c r="F24" s="101"/>
      <c r="G24" s="101" t="s">
        <v>37</v>
      </c>
      <c r="H24" s="101" t="s">
        <v>38</v>
      </c>
      <c r="I24" s="101"/>
      <c r="J24" s="101"/>
      <c r="K24" s="101" t="s">
        <v>52</v>
      </c>
      <c r="L24" s="101"/>
      <c r="M24" s="101" t="s">
        <v>32</v>
      </c>
      <c r="N24" s="101"/>
      <c r="O24" s="101"/>
      <c r="P24" s="101" t="s">
        <v>164</v>
      </c>
      <c r="Q24" s="101">
        <v>60</v>
      </c>
      <c r="R24" s="101">
        <v>13</v>
      </c>
      <c r="S24" s="101">
        <v>0.2</v>
      </c>
      <c r="T24" s="101">
        <v>0.1</v>
      </c>
      <c r="U24" s="101">
        <v>0.1</v>
      </c>
      <c r="V24" s="101">
        <f t="shared" si="0"/>
        <v>17</v>
      </c>
      <c r="W24" s="101">
        <v>40</v>
      </c>
      <c r="X24" s="101">
        <v>1.5</v>
      </c>
      <c r="Y24" s="101">
        <v>30</v>
      </c>
      <c r="Z24" s="101">
        <v>15</v>
      </c>
      <c r="AA24" s="101" t="s">
        <v>12</v>
      </c>
      <c r="AB24" s="101">
        <f>(((Q24+AL24+AM24)/2)*2+((Y24+S24+U24+T24)*X24))/36</f>
        <v>3.2666666666666666</v>
      </c>
      <c r="AC24" s="101"/>
      <c r="AD24" s="101"/>
      <c r="AE24" s="101">
        <f t="shared" si="2"/>
        <v>13.13</v>
      </c>
      <c r="AF24" s="101">
        <f>3.26666666666667*25</f>
        <v>81.666666666666757</v>
      </c>
      <c r="AG24" s="101"/>
      <c r="AH24" s="101"/>
      <c r="AI24" s="101" t="s">
        <v>24</v>
      </c>
      <c r="AJ24" s="101">
        <v>13</v>
      </c>
      <c r="AK24" s="101">
        <v>241</v>
      </c>
      <c r="AL24" s="101">
        <v>6</v>
      </c>
      <c r="AM24" s="101">
        <v>6</v>
      </c>
      <c r="AN24" s="101">
        <v>7</v>
      </c>
      <c r="AO24" s="101" t="s">
        <v>56</v>
      </c>
      <c r="AP24" s="101"/>
      <c r="AQ24" s="101"/>
      <c r="AR24" s="101"/>
      <c r="AS24" s="19"/>
    </row>
    <row r="25" spans="1:45" ht="45">
      <c r="A25" s="12" t="s">
        <v>172</v>
      </c>
      <c r="B25" s="101" t="s">
        <v>23</v>
      </c>
      <c r="C25" s="101" t="s">
        <v>36</v>
      </c>
      <c r="D25" s="101" t="s">
        <v>24</v>
      </c>
      <c r="E25" s="101"/>
      <c r="F25" s="101"/>
      <c r="G25" s="101" t="s">
        <v>37</v>
      </c>
      <c r="H25" s="101" t="s">
        <v>38</v>
      </c>
      <c r="I25" s="101"/>
      <c r="J25" s="101"/>
      <c r="K25" s="101" t="s">
        <v>52</v>
      </c>
      <c r="L25" s="101"/>
      <c r="M25" s="101" t="s">
        <v>32</v>
      </c>
      <c r="N25" s="101"/>
      <c r="O25" s="101"/>
      <c r="P25" s="101" t="s">
        <v>164</v>
      </c>
      <c r="Q25" s="101">
        <v>60</v>
      </c>
      <c r="R25" s="101">
        <v>13</v>
      </c>
      <c r="S25" s="101">
        <v>0.2</v>
      </c>
      <c r="T25" s="101">
        <v>0.1</v>
      </c>
      <c r="U25" s="101">
        <v>0.1</v>
      </c>
      <c r="V25" s="101">
        <f t="shared" si="0"/>
        <v>17</v>
      </c>
      <c r="W25" s="101">
        <v>25</v>
      </c>
      <c r="X25" s="101">
        <v>1</v>
      </c>
      <c r="Y25" s="101">
        <v>20</v>
      </c>
      <c r="Z25" s="101">
        <v>10</v>
      </c>
      <c r="AA25" s="101" t="s">
        <v>12</v>
      </c>
      <c r="AB25" s="101">
        <f>(((Q25+AL25+AM25)/2)*1.5+((Y25+S25+U25+T25)*X25))/36</f>
        <v>1.9833333333333334</v>
      </c>
      <c r="AC25" s="101"/>
      <c r="AD25" s="101"/>
      <c r="AE25" s="101">
        <f t="shared" si="2"/>
        <v>8.75</v>
      </c>
      <c r="AF25" s="101">
        <f>1.98333333333333*25</f>
        <v>49.58333333333325</v>
      </c>
      <c r="AG25" s="101"/>
      <c r="AH25" s="101"/>
      <c r="AI25" s="101" t="s">
        <v>24</v>
      </c>
      <c r="AJ25" s="101">
        <v>15</v>
      </c>
      <c r="AK25" s="101">
        <v>120</v>
      </c>
      <c r="AL25" s="101">
        <v>4</v>
      </c>
      <c r="AM25" s="101">
        <v>4</v>
      </c>
      <c r="AN25" s="101">
        <v>9</v>
      </c>
      <c r="AO25" s="101" t="s">
        <v>56</v>
      </c>
      <c r="AP25" s="101"/>
      <c r="AQ25" s="101"/>
      <c r="AR25" s="101"/>
      <c r="AS25" s="19"/>
    </row>
    <row r="26" spans="1:45" ht="75">
      <c r="A26" s="12" t="s">
        <v>172</v>
      </c>
      <c r="B26" s="101" t="s">
        <v>23</v>
      </c>
      <c r="C26" s="101" t="s">
        <v>36</v>
      </c>
      <c r="D26" s="101" t="s">
        <v>24</v>
      </c>
      <c r="E26" s="101" t="s">
        <v>45</v>
      </c>
      <c r="F26" s="101" t="s">
        <v>173</v>
      </c>
      <c r="G26" s="101" t="s">
        <v>37</v>
      </c>
      <c r="H26" s="101" t="s">
        <v>38</v>
      </c>
      <c r="I26" s="101" t="s">
        <v>37</v>
      </c>
      <c r="J26" s="101" t="s">
        <v>38</v>
      </c>
      <c r="K26" s="101" t="s">
        <v>52</v>
      </c>
      <c r="L26" s="101"/>
      <c r="M26" s="101" t="s">
        <v>32</v>
      </c>
      <c r="N26" s="101"/>
      <c r="O26" s="101"/>
      <c r="P26" s="101" t="s">
        <v>164</v>
      </c>
      <c r="Q26" s="101">
        <v>60</v>
      </c>
      <c r="R26" s="101">
        <v>13</v>
      </c>
      <c r="S26" s="101">
        <v>0.2</v>
      </c>
      <c r="T26" s="101">
        <v>0.1</v>
      </c>
      <c r="U26" s="101">
        <v>0.1</v>
      </c>
      <c r="V26" s="101">
        <f t="shared" si="0"/>
        <v>17</v>
      </c>
      <c r="W26" s="101">
        <v>25</v>
      </c>
      <c r="X26" s="101">
        <v>1</v>
      </c>
      <c r="Y26" s="101">
        <v>20</v>
      </c>
      <c r="Z26" s="101">
        <v>10</v>
      </c>
      <c r="AA26" s="101" t="s">
        <v>12</v>
      </c>
      <c r="AB26" s="101">
        <f>ROUND(((((Q26+AL26+AM26)/2)*1.5+((Y26+S26+U26+T26)*X26))/36),2)</f>
        <v>1.98</v>
      </c>
      <c r="AC26" s="101">
        <f>ROUND(((((Q26+AL26+AM26)/2)*1.5+((Y26+S26+U26+T26)*X26))/36),2)</f>
        <v>1.98</v>
      </c>
      <c r="AD26" s="101"/>
      <c r="AE26" s="101">
        <f t="shared" si="2"/>
        <v>8.75</v>
      </c>
      <c r="AF26" s="101">
        <f>1.98*25</f>
        <v>49.5</v>
      </c>
      <c r="AG26" s="101">
        <f>1.98*25</f>
        <v>49.5</v>
      </c>
      <c r="AH26" s="101"/>
      <c r="AI26" s="101" t="s">
        <v>24</v>
      </c>
      <c r="AJ26" s="101">
        <v>15</v>
      </c>
      <c r="AK26" s="101">
        <v>120</v>
      </c>
      <c r="AL26" s="101">
        <v>4</v>
      </c>
      <c r="AM26" s="101">
        <v>4</v>
      </c>
      <c r="AN26" s="101">
        <v>9</v>
      </c>
      <c r="AO26" s="101" t="s">
        <v>56</v>
      </c>
      <c r="AP26" s="101"/>
      <c r="AQ26" s="101"/>
      <c r="AR26" s="101" t="s">
        <v>158</v>
      </c>
      <c r="AS26" s="19"/>
    </row>
    <row r="27" spans="1:45" ht="75">
      <c r="A27" s="12" t="s">
        <v>172</v>
      </c>
      <c r="B27" s="101" t="s">
        <v>23</v>
      </c>
      <c r="C27" s="101" t="s">
        <v>36</v>
      </c>
      <c r="D27" s="101" t="s">
        <v>24</v>
      </c>
      <c r="E27" s="101" t="s">
        <v>45</v>
      </c>
      <c r="F27" s="101" t="s">
        <v>51</v>
      </c>
      <c r="G27" s="101" t="s">
        <v>37</v>
      </c>
      <c r="H27" s="101" t="s">
        <v>38</v>
      </c>
      <c r="I27" s="101" t="s">
        <v>37</v>
      </c>
      <c r="J27" s="101" t="s">
        <v>38</v>
      </c>
      <c r="K27" s="101" t="s">
        <v>52</v>
      </c>
      <c r="L27" s="101"/>
      <c r="M27" s="101" t="s">
        <v>32</v>
      </c>
      <c r="N27" s="101"/>
      <c r="O27" s="101"/>
      <c r="P27" s="101" t="s">
        <v>164</v>
      </c>
      <c r="Q27" s="101">
        <v>60</v>
      </c>
      <c r="R27" s="101">
        <v>13</v>
      </c>
      <c r="S27" s="101">
        <v>0.2</v>
      </c>
      <c r="T27" s="101">
        <v>0.1</v>
      </c>
      <c r="U27" s="101">
        <v>0.1</v>
      </c>
      <c r="V27" s="101">
        <f t="shared" si="0"/>
        <v>17</v>
      </c>
      <c r="W27" s="101">
        <v>25</v>
      </c>
      <c r="X27" s="101">
        <v>1</v>
      </c>
      <c r="Y27" s="101">
        <v>20</v>
      </c>
      <c r="Z27" s="101">
        <v>10</v>
      </c>
      <c r="AA27" s="101" t="s">
        <v>12</v>
      </c>
      <c r="AB27" s="101">
        <f>ROUND((((((Q27+AL27+AM27)/2)*1.5+((Y27+S27+U27+T27)*X27))/36)/2),2)</f>
        <v>0.99</v>
      </c>
      <c r="AC27" s="101">
        <f>ROUND((((((Q27+AL27+AM27)/2)*1.5+((Y27+S27+U27+T27)*X27))/36)/2),2)</f>
        <v>0.99</v>
      </c>
      <c r="AD27" s="101"/>
      <c r="AE27" s="101">
        <f t="shared" si="2"/>
        <v>8.75</v>
      </c>
      <c r="AF27" s="101">
        <f>0.99*25</f>
        <v>24.75</v>
      </c>
      <c r="AG27" s="101">
        <f>0.99*25</f>
        <v>24.75</v>
      </c>
      <c r="AH27" s="101"/>
      <c r="AI27" s="101" t="s">
        <v>24</v>
      </c>
      <c r="AJ27" s="101">
        <v>15</v>
      </c>
      <c r="AK27" s="101">
        <v>120</v>
      </c>
      <c r="AL27" s="101">
        <v>4</v>
      </c>
      <c r="AM27" s="101">
        <v>4</v>
      </c>
      <c r="AN27" s="101">
        <v>9</v>
      </c>
      <c r="AO27" s="101" t="s">
        <v>56</v>
      </c>
      <c r="AP27" s="101"/>
      <c r="AQ27" s="101"/>
      <c r="AR27" s="101" t="s">
        <v>158</v>
      </c>
      <c r="AS27" s="19"/>
    </row>
    <row r="28" spans="1:45" ht="75">
      <c r="A28" s="12" t="s">
        <v>172</v>
      </c>
      <c r="B28" s="101" t="s">
        <v>23</v>
      </c>
      <c r="C28" s="101" t="s">
        <v>36</v>
      </c>
      <c r="D28" s="101" t="s">
        <v>24</v>
      </c>
      <c r="E28" s="101" t="s">
        <v>45</v>
      </c>
      <c r="F28" s="101" t="s">
        <v>51</v>
      </c>
      <c r="G28" s="101" t="s">
        <v>37</v>
      </c>
      <c r="H28" s="101" t="s">
        <v>38</v>
      </c>
      <c r="I28" s="101" t="s">
        <v>37</v>
      </c>
      <c r="J28" s="101" t="s">
        <v>38</v>
      </c>
      <c r="K28" s="101" t="s">
        <v>29</v>
      </c>
      <c r="L28" s="101"/>
      <c r="M28" s="101" t="s">
        <v>32</v>
      </c>
      <c r="N28" s="101"/>
      <c r="O28" s="101"/>
      <c r="P28" s="101" t="s">
        <v>164</v>
      </c>
      <c r="Q28" s="101">
        <v>60</v>
      </c>
      <c r="R28" s="101">
        <v>13</v>
      </c>
      <c r="S28" s="101">
        <v>0.2</v>
      </c>
      <c r="T28" s="101">
        <v>0.1</v>
      </c>
      <c r="U28" s="101">
        <v>0.1</v>
      </c>
      <c r="V28" s="101">
        <f t="shared" si="0"/>
        <v>17</v>
      </c>
      <c r="W28" s="101">
        <v>25</v>
      </c>
      <c r="X28" s="101">
        <v>1</v>
      </c>
      <c r="Y28" s="101">
        <v>20</v>
      </c>
      <c r="Z28" s="101">
        <v>10</v>
      </c>
      <c r="AA28" s="101" t="s">
        <v>12</v>
      </c>
      <c r="AB28" s="101">
        <f>ROUND((((((Q28+AL28+AM28)/2)*1.5+((Y28+S28+U28+T28)*X28))/36)/2)*2,2)</f>
        <v>1.98</v>
      </c>
      <c r="AC28" s="101">
        <f>ROUND((((((Q28+AL28+AM28)/2)*1.5+((Y28+S28+U28+T28)*X28))/36)/2)*2,2)</f>
        <v>1.98</v>
      </c>
      <c r="AD28" s="101"/>
      <c r="AE28" s="101">
        <f t="shared" si="2"/>
        <v>8.75</v>
      </c>
      <c r="AF28" s="101">
        <f>1.98*25</f>
        <v>49.5</v>
      </c>
      <c r="AG28" s="101">
        <f>1.98*25</f>
        <v>49.5</v>
      </c>
      <c r="AH28" s="101"/>
      <c r="AI28" s="101" t="s">
        <v>24</v>
      </c>
      <c r="AJ28" s="101">
        <v>15</v>
      </c>
      <c r="AK28" s="101">
        <v>120</v>
      </c>
      <c r="AL28" s="101">
        <v>4</v>
      </c>
      <c r="AM28" s="101">
        <v>4</v>
      </c>
      <c r="AN28" s="101">
        <v>9</v>
      </c>
      <c r="AO28" s="101" t="s">
        <v>56</v>
      </c>
      <c r="AP28" s="101"/>
      <c r="AQ28" s="101"/>
      <c r="AR28" s="101" t="s">
        <v>158</v>
      </c>
      <c r="AS28" s="19"/>
    </row>
    <row r="29" spans="1:45" ht="75">
      <c r="A29" s="12" t="s">
        <v>172</v>
      </c>
      <c r="B29" s="101" t="s">
        <v>23</v>
      </c>
      <c r="C29" s="101" t="s">
        <v>36</v>
      </c>
      <c r="D29" s="101" t="s">
        <v>24</v>
      </c>
      <c r="E29" s="101" t="s">
        <v>45</v>
      </c>
      <c r="F29" s="101" t="s">
        <v>173</v>
      </c>
      <c r="G29" s="101" t="s">
        <v>37</v>
      </c>
      <c r="H29" s="101" t="s">
        <v>38</v>
      </c>
      <c r="I29" s="101" t="s">
        <v>37</v>
      </c>
      <c r="J29" s="101" t="s">
        <v>38</v>
      </c>
      <c r="K29" s="101" t="s">
        <v>29</v>
      </c>
      <c r="L29" s="101"/>
      <c r="M29" s="101" t="s">
        <v>32</v>
      </c>
      <c r="N29" s="101"/>
      <c r="O29" s="101"/>
      <c r="P29" s="101" t="s">
        <v>164</v>
      </c>
      <c r="Q29" s="101">
        <v>60</v>
      </c>
      <c r="R29" s="101">
        <v>13</v>
      </c>
      <c r="S29" s="101">
        <v>0.2</v>
      </c>
      <c r="T29" s="101">
        <v>0.1</v>
      </c>
      <c r="U29" s="101">
        <v>0.1</v>
      </c>
      <c r="V29" s="101">
        <f t="shared" si="0"/>
        <v>17</v>
      </c>
      <c r="W29" s="101">
        <v>25</v>
      </c>
      <c r="X29" s="101">
        <v>1</v>
      </c>
      <c r="Y29" s="101">
        <v>20</v>
      </c>
      <c r="Z29" s="101">
        <v>10</v>
      </c>
      <c r="AA29" s="101" t="s">
        <v>12</v>
      </c>
      <c r="AB29" s="101">
        <f>ROUND(((((Q29+AL29+AM29)/2)*1.5+((Y29+S29+U29+T29)*X29))/36)*2,2)</f>
        <v>3.97</v>
      </c>
      <c r="AC29" s="101">
        <f>ROUND(((((Q29+AL29+AM29)/2)*1.5+((Y29+S29+U29+T29)*X29))/36)*2,2)</f>
        <v>3.97</v>
      </c>
      <c r="AD29" s="101"/>
      <c r="AE29" s="101">
        <f t="shared" si="2"/>
        <v>8.75</v>
      </c>
      <c r="AF29" s="101">
        <f>3.97*25</f>
        <v>99.25</v>
      </c>
      <c r="AG29" s="101">
        <f>3.97*25</f>
        <v>99.25</v>
      </c>
      <c r="AH29" s="101"/>
      <c r="AI29" s="101" t="s">
        <v>24</v>
      </c>
      <c r="AJ29" s="101">
        <v>15</v>
      </c>
      <c r="AK29" s="101">
        <v>120</v>
      </c>
      <c r="AL29" s="101">
        <v>4</v>
      </c>
      <c r="AM29" s="101">
        <v>4</v>
      </c>
      <c r="AN29" s="101">
        <v>9</v>
      </c>
      <c r="AO29" s="101" t="s">
        <v>56</v>
      </c>
      <c r="AP29" s="101"/>
      <c r="AQ29" s="101"/>
      <c r="AR29" s="101" t="s">
        <v>158</v>
      </c>
      <c r="AS29" s="19"/>
    </row>
    <row r="30" spans="1:45" ht="45">
      <c r="A30" s="12" t="s">
        <v>172</v>
      </c>
      <c r="B30" s="101" t="s">
        <v>23</v>
      </c>
      <c r="C30" s="101" t="s">
        <v>36</v>
      </c>
      <c r="D30" s="101" t="s">
        <v>24</v>
      </c>
      <c r="E30" s="101"/>
      <c r="F30" s="101"/>
      <c r="G30" s="101" t="s">
        <v>37</v>
      </c>
      <c r="H30" s="101" t="s">
        <v>38</v>
      </c>
      <c r="I30" s="101"/>
      <c r="J30" s="101"/>
      <c r="K30" s="101" t="s">
        <v>29</v>
      </c>
      <c r="L30" s="101"/>
      <c r="M30" s="101" t="s">
        <v>32</v>
      </c>
      <c r="N30" s="101"/>
      <c r="O30" s="101"/>
      <c r="P30" s="101" t="s">
        <v>164</v>
      </c>
      <c r="Q30" s="101">
        <v>60</v>
      </c>
      <c r="R30" s="101">
        <v>13</v>
      </c>
      <c r="S30" s="101">
        <v>0.2</v>
      </c>
      <c r="T30" s="101">
        <v>0.1</v>
      </c>
      <c r="U30" s="101">
        <v>0.1</v>
      </c>
      <c r="V30" s="101">
        <f t="shared" si="0"/>
        <v>17</v>
      </c>
      <c r="W30" s="101">
        <v>25</v>
      </c>
      <c r="X30" s="101">
        <v>1</v>
      </c>
      <c r="Y30" s="101">
        <v>20</v>
      </c>
      <c r="Z30" s="101">
        <v>10</v>
      </c>
      <c r="AA30" s="101" t="s">
        <v>12</v>
      </c>
      <c r="AB30" s="101">
        <f>(((Q30+AL30+AM30)/2)*1.5+((Y30+S30+U30+T30)*X30))/36*2</f>
        <v>3.9666666666666668</v>
      </c>
      <c r="AC30" s="101"/>
      <c r="AD30" s="101"/>
      <c r="AE30" s="101">
        <f t="shared" si="2"/>
        <v>8.75</v>
      </c>
      <c r="AF30" s="101">
        <f>3.96666666666667*25</f>
        <v>99.166666666666742</v>
      </c>
      <c r="AG30" s="101"/>
      <c r="AH30" s="101"/>
      <c r="AI30" s="101" t="s">
        <v>24</v>
      </c>
      <c r="AJ30" s="101">
        <v>15</v>
      </c>
      <c r="AK30" s="101">
        <v>120</v>
      </c>
      <c r="AL30" s="101">
        <v>4</v>
      </c>
      <c r="AM30" s="101">
        <v>4</v>
      </c>
      <c r="AN30" s="101">
        <v>9</v>
      </c>
      <c r="AO30" s="101" t="s">
        <v>56</v>
      </c>
      <c r="AP30" s="101"/>
      <c r="AQ30" s="101"/>
      <c r="AR30" s="101"/>
      <c r="AS30" s="19"/>
    </row>
    <row r="31" spans="1:45" ht="45">
      <c r="A31" s="12" t="s">
        <v>172</v>
      </c>
      <c r="B31" s="101" t="s">
        <v>23</v>
      </c>
      <c r="C31" s="101" t="s">
        <v>36</v>
      </c>
      <c r="D31" s="101" t="s">
        <v>24</v>
      </c>
      <c r="E31" s="101"/>
      <c r="F31" s="101"/>
      <c r="G31" s="101" t="s">
        <v>37</v>
      </c>
      <c r="H31" s="101" t="s">
        <v>38</v>
      </c>
      <c r="I31" s="101"/>
      <c r="J31" s="101"/>
      <c r="K31" s="101" t="s">
        <v>29</v>
      </c>
      <c r="L31" s="101"/>
      <c r="M31" s="101" t="s">
        <v>32</v>
      </c>
      <c r="N31" s="101"/>
      <c r="O31" s="101"/>
      <c r="P31" s="101" t="s">
        <v>164</v>
      </c>
      <c r="Q31" s="101">
        <v>60</v>
      </c>
      <c r="R31" s="101">
        <v>17</v>
      </c>
      <c r="S31" s="101">
        <v>0.2</v>
      </c>
      <c r="T31" s="101">
        <v>0.1</v>
      </c>
      <c r="U31" s="101">
        <v>0.1</v>
      </c>
      <c r="V31" s="101">
        <f t="shared" si="0"/>
        <v>13</v>
      </c>
      <c r="W31" s="101">
        <v>40</v>
      </c>
      <c r="X31" s="101">
        <v>1.5</v>
      </c>
      <c r="Y31" s="101">
        <v>30</v>
      </c>
      <c r="Z31" s="101">
        <v>15</v>
      </c>
      <c r="AA31" s="101" t="s">
        <v>12</v>
      </c>
      <c r="AB31" s="101">
        <f>(((Q31+AL31+AM31)/2)*2+((Y31+S31+U31+T31)*X31))/36*2</f>
        <v>7.3111111111111109</v>
      </c>
      <c r="AC31" s="101"/>
      <c r="AD31" s="101"/>
      <c r="AE31" s="101">
        <f t="shared" si="2"/>
        <v>13.13</v>
      </c>
      <c r="AF31" s="101">
        <f>7.31111111111111*25</f>
        <v>182.77777777777774</v>
      </c>
      <c r="AG31" s="101"/>
      <c r="AH31" s="101"/>
      <c r="AI31" s="101" t="s">
        <v>24</v>
      </c>
      <c r="AJ31" s="101">
        <v>6</v>
      </c>
      <c r="AK31" s="101">
        <v>241</v>
      </c>
      <c r="AL31" s="101">
        <v>13</v>
      </c>
      <c r="AM31" s="101">
        <v>13</v>
      </c>
      <c r="AN31" s="101">
        <v>4</v>
      </c>
      <c r="AO31" s="101" t="s">
        <v>58</v>
      </c>
      <c r="AP31" s="101"/>
      <c r="AQ31" s="101"/>
      <c r="AR31" s="101"/>
      <c r="AS31" s="19"/>
    </row>
    <row r="32" spans="1:45" ht="75">
      <c r="A32" s="12" t="s">
        <v>172</v>
      </c>
      <c r="B32" s="101" t="s">
        <v>23</v>
      </c>
      <c r="C32" s="101" t="s">
        <v>36</v>
      </c>
      <c r="D32" s="101" t="s">
        <v>24</v>
      </c>
      <c r="E32" s="101" t="s">
        <v>45</v>
      </c>
      <c r="F32" s="101" t="s">
        <v>173</v>
      </c>
      <c r="G32" s="101" t="s">
        <v>37</v>
      </c>
      <c r="H32" s="101" t="s">
        <v>38</v>
      </c>
      <c r="I32" s="101" t="s">
        <v>37</v>
      </c>
      <c r="J32" s="101" t="s">
        <v>38</v>
      </c>
      <c r="K32" s="101" t="s">
        <v>29</v>
      </c>
      <c r="L32" s="101"/>
      <c r="M32" s="101" t="s">
        <v>32</v>
      </c>
      <c r="N32" s="101"/>
      <c r="O32" s="101"/>
      <c r="P32" s="101" t="s">
        <v>164</v>
      </c>
      <c r="Q32" s="101">
        <v>60</v>
      </c>
      <c r="R32" s="101">
        <v>17</v>
      </c>
      <c r="S32" s="101">
        <v>0.2</v>
      </c>
      <c r="T32" s="101">
        <v>0.1</v>
      </c>
      <c r="U32" s="101">
        <v>0.1</v>
      </c>
      <c r="V32" s="101">
        <f t="shared" si="0"/>
        <v>13</v>
      </c>
      <c r="W32" s="101">
        <v>40</v>
      </c>
      <c r="X32" s="101">
        <v>1.5</v>
      </c>
      <c r="Y32" s="101">
        <v>30</v>
      </c>
      <c r="Z32" s="101">
        <v>15</v>
      </c>
      <c r="AA32" s="101" t="s">
        <v>12</v>
      </c>
      <c r="AB32" s="101">
        <f>ROUND(((((Q32+AL32+AM32)/2)*2+((Y32+S32+U32+T32)*X32))/36)*2,2)</f>
        <v>7.31</v>
      </c>
      <c r="AC32" s="101">
        <f>ROUND(((((Q32+AL32+AM32)/2)*2+((Y32+S32+U32+T32)*X32))/36)*2,2)</f>
        <v>7.31</v>
      </c>
      <c r="AD32" s="101"/>
      <c r="AE32" s="101">
        <f t="shared" si="2"/>
        <v>13.13</v>
      </c>
      <c r="AF32" s="101">
        <f>7.31*25</f>
        <v>182.75</v>
      </c>
      <c r="AG32" s="101">
        <f>7.31*25</f>
        <v>182.75</v>
      </c>
      <c r="AH32" s="101"/>
      <c r="AI32" s="101" t="s">
        <v>24</v>
      </c>
      <c r="AJ32" s="101">
        <v>6</v>
      </c>
      <c r="AK32" s="101">
        <v>241</v>
      </c>
      <c r="AL32" s="101">
        <v>13</v>
      </c>
      <c r="AM32" s="101">
        <v>13</v>
      </c>
      <c r="AN32" s="101">
        <v>4</v>
      </c>
      <c r="AO32" s="101" t="s">
        <v>58</v>
      </c>
      <c r="AP32" s="101"/>
      <c r="AQ32" s="101"/>
      <c r="AR32" s="101" t="s">
        <v>158</v>
      </c>
      <c r="AS32" s="19"/>
    </row>
    <row r="33" spans="1:45" ht="75">
      <c r="A33" s="12" t="s">
        <v>172</v>
      </c>
      <c r="B33" s="101" t="s">
        <v>23</v>
      </c>
      <c r="C33" s="101" t="s">
        <v>36</v>
      </c>
      <c r="D33" s="101" t="s">
        <v>24</v>
      </c>
      <c r="E33" s="101" t="s">
        <v>45</v>
      </c>
      <c r="F33" s="101" t="s">
        <v>51</v>
      </c>
      <c r="G33" s="101" t="s">
        <v>37</v>
      </c>
      <c r="H33" s="101" t="s">
        <v>38</v>
      </c>
      <c r="I33" s="101" t="s">
        <v>37</v>
      </c>
      <c r="J33" s="101" t="s">
        <v>38</v>
      </c>
      <c r="K33" s="101" t="s">
        <v>29</v>
      </c>
      <c r="L33" s="101"/>
      <c r="M33" s="101" t="s">
        <v>32</v>
      </c>
      <c r="N33" s="101"/>
      <c r="O33" s="101"/>
      <c r="P33" s="101" t="s">
        <v>164</v>
      </c>
      <c r="Q33" s="101">
        <v>60</v>
      </c>
      <c r="R33" s="101">
        <v>17</v>
      </c>
      <c r="S33" s="101">
        <v>0.2</v>
      </c>
      <c r="T33" s="101">
        <v>0.1</v>
      </c>
      <c r="U33" s="101">
        <v>0.1</v>
      </c>
      <c r="V33" s="101">
        <f t="shared" si="0"/>
        <v>13</v>
      </c>
      <c r="W33" s="101">
        <v>40</v>
      </c>
      <c r="X33" s="101">
        <v>1.5</v>
      </c>
      <c r="Y33" s="101">
        <v>30</v>
      </c>
      <c r="Z33" s="101">
        <v>15</v>
      </c>
      <c r="AA33" s="101" t="s">
        <v>12</v>
      </c>
      <c r="AB33" s="101">
        <f>ROUND((((((Q33+AL33+AM33)/2)*2+((Y33+S33+U33+T33)*X33))/36)/2)*2,2)</f>
        <v>3.66</v>
      </c>
      <c r="AC33" s="101">
        <f>ROUND((((((Q33+AL33+AM33)/2)*2+((Y33+S33+U33+T33)*X33))/36)/2)*2,2)</f>
        <v>3.66</v>
      </c>
      <c r="AD33" s="101"/>
      <c r="AE33" s="101">
        <f t="shared" si="2"/>
        <v>13.13</v>
      </c>
      <c r="AF33" s="101">
        <f>3.66*25</f>
        <v>91.5</v>
      </c>
      <c r="AG33" s="101">
        <f>3.66*25</f>
        <v>91.5</v>
      </c>
      <c r="AH33" s="101"/>
      <c r="AI33" s="101" t="s">
        <v>24</v>
      </c>
      <c r="AJ33" s="101">
        <v>6</v>
      </c>
      <c r="AK33" s="101">
        <v>241</v>
      </c>
      <c r="AL33" s="101">
        <v>13</v>
      </c>
      <c r="AM33" s="101">
        <v>13</v>
      </c>
      <c r="AN33" s="101">
        <v>4</v>
      </c>
      <c r="AO33" s="101" t="s">
        <v>58</v>
      </c>
      <c r="AP33" s="101"/>
      <c r="AQ33" s="101"/>
      <c r="AR33" s="101" t="s">
        <v>158</v>
      </c>
      <c r="AS33" s="19"/>
    </row>
    <row r="34" spans="1:45" ht="75">
      <c r="A34" s="12" t="s">
        <v>172</v>
      </c>
      <c r="B34" s="101" t="s">
        <v>23</v>
      </c>
      <c r="C34" s="101" t="s">
        <v>36</v>
      </c>
      <c r="D34" s="101" t="s">
        <v>24</v>
      </c>
      <c r="E34" s="101" t="s">
        <v>45</v>
      </c>
      <c r="F34" s="101" t="s">
        <v>51</v>
      </c>
      <c r="G34" s="101" t="s">
        <v>37</v>
      </c>
      <c r="H34" s="101" t="s">
        <v>38</v>
      </c>
      <c r="I34" s="101" t="s">
        <v>37</v>
      </c>
      <c r="J34" s="101" t="s">
        <v>38</v>
      </c>
      <c r="K34" s="101" t="s">
        <v>52</v>
      </c>
      <c r="L34" s="101"/>
      <c r="M34" s="101" t="s">
        <v>32</v>
      </c>
      <c r="N34" s="101"/>
      <c r="O34" s="101"/>
      <c r="P34" s="101" t="s">
        <v>164</v>
      </c>
      <c r="Q34" s="101">
        <v>60</v>
      </c>
      <c r="R34" s="101">
        <v>17</v>
      </c>
      <c r="S34" s="101">
        <v>0.2</v>
      </c>
      <c r="T34" s="101">
        <v>0.1</v>
      </c>
      <c r="U34" s="101">
        <v>0.1</v>
      </c>
      <c r="V34" s="101">
        <f t="shared" si="0"/>
        <v>13</v>
      </c>
      <c r="W34" s="101">
        <v>40</v>
      </c>
      <c r="X34" s="101">
        <v>1.5</v>
      </c>
      <c r="Y34" s="101">
        <v>30</v>
      </c>
      <c r="Z34" s="101">
        <v>15</v>
      </c>
      <c r="AA34" s="101" t="s">
        <v>12</v>
      </c>
      <c r="AB34" s="101">
        <f>ROUND((((((Q34+AL34+AM34)/2)*2+((Y34+S34+U34+T34)*X34))/36)/2),2)</f>
        <v>1.83</v>
      </c>
      <c r="AC34" s="101">
        <f>ROUND((((((Q34+AL34+AM34)/2)*2+((Y34+S34+U34+T34)*X34))/36)/2),2)</f>
        <v>1.83</v>
      </c>
      <c r="AD34" s="101"/>
      <c r="AE34" s="101">
        <f t="shared" si="2"/>
        <v>13.13</v>
      </c>
      <c r="AF34" s="101">
        <f>1.83*25</f>
        <v>45.75</v>
      </c>
      <c r="AG34" s="101">
        <f>1.83*25</f>
        <v>45.75</v>
      </c>
      <c r="AH34" s="101"/>
      <c r="AI34" s="101" t="s">
        <v>24</v>
      </c>
      <c r="AJ34" s="101">
        <v>6</v>
      </c>
      <c r="AK34" s="101">
        <v>241</v>
      </c>
      <c r="AL34" s="101">
        <v>13</v>
      </c>
      <c r="AM34" s="101">
        <v>13</v>
      </c>
      <c r="AN34" s="101">
        <v>4</v>
      </c>
      <c r="AO34" s="101" t="s">
        <v>58</v>
      </c>
      <c r="AP34" s="101"/>
      <c r="AQ34" s="101"/>
      <c r="AR34" s="101" t="s">
        <v>158</v>
      </c>
      <c r="AS34" s="19"/>
    </row>
    <row r="35" spans="1:45" ht="75">
      <c r="A35" s="12" t="s">
        <v>172</v>
      </c>
      <c r="B35" s="101" t="s">
        <v>23</v>
      </c>
      <c r="C35" s="101" t="s">
        <v>36</v>
      </c>
      <c r="D35" s="101" t="s">
        <v>24</v>
      </c>
      <c r="E35" s="101" t="s">
        <v>45</v>
      </c>
      <c r="F35" s="101" t="s">
        <v>173</v>
      </c>
      <c r="G35" s="101" t="s">
        <v>37</v>
      </c>
      <c r="H35" s="101" t="s">
        <v>38</v>
      </c>
      <c r="I35" s="101" t="s">
        <v>37</v>
      </c>
      <c r="J35" s="101" t="s">
        <v>38</v>
      </c>
      <c r="K35" s="101" t="s">
        <v>52</v>
      </c>
      <c r="L35" s="101"/>
      <c r="M35" s="101" t="s">
        <v>32</v>
      </c>
      <c r="N35" s="101"/>
      <c r="O35" s="101"/>
      <c r="P35" s="101" t="s">
        <v>164</v>
      </c>
      <c r="Q35" s="101">
        <v>60</v>
      </c>
      <c r="R35" s="101">
        <v>17</v>
      </c>
      <c r="S35" s="101">
        <v>0.2</v>
      </c>
      <c r="T35" s="101">
        <v>0.1</v>
      </c>
      <c r="U35" s="101">
        <v>0.1</v>
      </c>
      <c r="V35" s="101">
        <f t="shared" si="0"/>
        <v>13</v>
      </c>
      <c r="W35" s="101">
        <v>40</v>
      </c>
      <c r="X35" s="101">
        <v>1.5</v>
      </c>
      <c r="Y35" s="101">
        <v>30</v>
      </c>
      <c r="Z35" s="101">
        <v>15</v>
      </c>
      <c r="AA35" s="101" t="s">
        <v>12</v>
      </c>
      <c r="AB35" s="101">
        <f>ROUND(((((Q35+AL35+AM35)/2)*2+((Y35+S35+U35+T35)*X35))/36),2)</f>
        <v>3.66</v>
      </c>
      <c r="AC35" s="101">
        <f>ROUND(((((Q35+AL35+AM35)/2)*2+((Y35+S35+U35+T35)*X35))/36),2)</f>
        <v>3.66</v>
      </c>
      <c r="AD35" s="101"/>
      <c r="AE35" s="101">
        <f t="shared" si="2"/>
        <v>13.13</v>
      </c>
      <c r="AF35" s="101">
        <f>3.66*25</f>
        <v>91.5</v>
      </c>
      <c r="AG35" s="101">
        <f>3.66*25</f>
        <v>91.5</v>
      </c>
      <c r="AH35" s="101"/>
      <c r="AI35" s="101" t="s">
        <v>24</v>
      </c>
      <c r="AJ35" s="101">
        <v>6</v>
      </c>
      <c r="AK35" s="101">
        <v>241</v>
      </c>
      <c r="AL35" s="101">
        <v>13</v>
      </c>
      <c r="AM35" s="101">
        <v>13</v>
      </c>
      <c r="AN35" s="101">
        <v>4</v>
      </c>
      <c r="AO35" s="101" t="s">
        <v>58</v>
      </c>
      <c r="AP35" s="101"/>
      <c r="AQ35" s="101"/>
      <c r="AR35" s="101" t="s">
        <v>158</v>
      </c>
      <c r="AS35" s="19"/>
    </row>
    <row r="36" spans="1:45" ht="75">
      <c r="A36" s="12" t="s">
        <v>172</v>
      </c>
      <c r="B36" s="101" t="s">
        <v>23</v>
      </c>
      <c r="C36" s="101" t="s">
        <v>36</v>
      </c>
      <c r="D36" s="101" t="s">
        <v>24</v>
      </c>
      <c r="E36" s="101" t="s">
        <v>45</v>
      </c>
      <c r="F36" s="101" t="s">
        <v>173</v>
      </c>
      <c r="G36" s="101" t="s">
        <v>37</v>
      </c>
      <c r="H36" s="101" t="s">
        <v>38</v>
      </c>
      <c r="I36" s="101" t="s">
        <v>37</v>
      </c>
      <c r="J36" s="101" t="s">
        <v>38</v>
      </c>
      <c r="K36" s="101" t="s">
        <v>52</v>
      </c>
      <c r="L36" s="101"/>
      <c r="M36" s="101" t="s">
        <v>24</v>
      </c>
      <c r="N36" s="101" t="s">
        <v>37</v>
      </c>
      <c r="O36" s="101" t="s">
        <v>38</v>
      </c>
      <c r="P36" s="101" t="s">
        <v>164</v>
      </c>
      <c r="Q36" s="101">
        <v>60</v>
      </c>
      <c r="R36" s="101">
        <v>17</v>
      </c>
      <c r="S36" s="101">
        <v>0.2</v>
      </c>
      <c r="T36" s="101">
        <v>0.1</v>
      </c>
      <c r="U36" s="101">
        <v>0.1</v>
      </c>
      <c r="V36" s="101">
        <f t="shared" si="0"/>
        <v>13</v>
      </c>
      <c r="W36" s="101">
        <v>40</v>
      </c>
      <c r="X36" s="101">
        <v>1.5</v>
      </c>
      <c r="Y36" s="101">
        <v>30</v>
      </c>
      <c r="Z36" s="101">
        <v>15</v>
      </c>
      <c r="AA36" s="101" t="s">
        <v>12</v>
      </c>
      <c r="AB36" s="101">
        <f>ROUND(((((Q36+AL36+AM36)/2)*2+((Y36+S36+U36+T36)*X36))/36),2)</f>
        <v>3.66</v>
      </c>
      <c r="AC36" s="101">
        <f>ROUND(((((Q36+AL36+AM36)/2)*2+((Y36+S36+U36+T36)*X36))/36),2)</f>
        <v>3.66</v>
      </c>
      <c r="AD36" s="101">
        <f t="shared" ref="AD36:AD41" si="3">((((Q36-R36*2)*2)+(Z36+S36)*2)*X36/36)/2</f>
        <v>1.7166666666666668</v>
      </c>
      <c r="AE36" s="101">
        <f t="shared" si="2"/>
        <v>13.13</v>
      </c>
      <c r="AF36" s="101">
        <f>3.66*25</f>
        <v>91.5</v>
      </c>
      <c r="AG36" s="101">
        <f>3.66*25</f>
        <v>91.5</v>
      </c>
      <c r="AH36" s="101">
        <f>3.66*10</f>
        <v>36.6</v>
      </c>
      <c r="AI36" s="101" t="s">
        <v>24</v>
      </c>
      <c r="AJ36" s="101">
        <v>6</v>
      </c>
      <c r="AK36" s="101">
        <v>241</v>
      </c>
      <c r="AL36" s="101">
        <v>13</v>
      </c>
      <c r="AM36" s="101">
        <v>13</v>
      </c>
      <c r="AN36" s="101">
        <v>4</v>
      </c>
      <c r="AO36" s="101" t="s">
        <v>58</v>
      </c>
      <c r="AP36" s="101"/>
      <c r="AQ36" s="101"/>
      <c r="AR36" s="101" t="s">
        <v>158</v>
      </c>
      <c r="AS36" s="19"/>
    </row>
    <row r="37" spans="1:45" ht="45">
      <c r="A37" s="12" t="s">
        <v>172</v>
      </c>
      <c r="B37" s="101" t="s">
        <v>23</v>
      </c>
      <c r="C37" s="101" t="s">
        <v>36</v>
      </c>
      <c r="D37" s="101" t="s">
        <v>24</v>
      </c>
      <c r="E37" s="101"/>
      <c r="F37" s="101"/>
      <c r="G37" s="101" t="s">
        <v>37</v>
      </c>
      <c r="H37" s="101" t="s">
        <v>38</v>
      </c>
      <c r="I37" s="101"/>
      <c r="J37" s="101"/>
      <c r="K37" s="101" t="s">
        <v>52</v>
      </c>
      <c r="L37" s="101"/>
      <c r="M37" s="101" t="s">
        <v>24</v>
      </c>
      <c r="N37" s="101" t="s">
        <v>37</v>
      </c>
      <c r="O37" s="101" t="s">
        <v>38</v>
      </c>
      <c r="P37" s="101" t="s">
        <v>164</v>
      </c>
      <c r="Q37" s="101">
        <v>60</v>
      </c>
      <c r="R37" s="101">
        <v>17</v>
      </c>
      <c r="S37" s="101">
        <v>0.2</v>
      </c>
      <c r="T37" s="101">
        <v>0.1</v>
      </c>
      <c r="U37" s="101">
        <v>0.1</v>
      </c>
      <c r="V37" s="101">
        <f t="shared" si="0"/>
        <v>13</v>
      </c>
      <c r="W37" s="101">
        <v>40</v>
      </c>
      <c r="X37" s="101">
        <v>1.5</v>
      </c>
      <c r="Y37" s="101">
        <v>30</v>
      </c>
      <c r="Z37" s="101">
        <v>15</v>
      </c>
      <c r="AA37" s="101" t="s">
        <v>12</v>
      </c>
      <c r="AB37" s="101">
        <f>(((Q37+AL37+AM37)/2)*2+((Y37+S37+U37+T37)*X37))/36</f>
        <v>3.6555555555555554</v>
      </c>
      <c r="AC37" s="101"/>
      <c r="AD37" s="101">
        <f t="shared" si="3"/>
        <v>1.7166666666666668</v>
      </c>
      <c r="AE37" s="101">
        <f t="shared" si="2"/>
        <v>13.13</v>
      </c>
      <c r="AF37" s="101">
        <f>3.65555555555556*25</f>
        <v>91.388888888888999</v>
      </c>
      <c r="AG37" s="101"/>
      <c r="AH37" s="101">
        <f>3.65555555555556*10</f>
        <v>36.5555555555556</v>
      </c>
      <c r="AI37" s="101" t="s">
        <v>24</v>
      </c>
      <c r="AJ37" s="101">
        <v>6</v>
      </c>
      <c r="AK37" s="101">
        <v>241</v>
      </c>
      <c r="AL37" s="101">
        <v>13</v>
      </c>
      <c r="AM37" s="101">
        <v>13</v>
      </c>
      <c r="AN37" s="101">
        <v>4</v>
      </c>
      <c r="AO37" s="101" t="s">
        <v>58</v>
      </c>
      <c r="AP37" s="101"/>
      <c r="AQ37" s="101"/>
      <c r="AR37" s="101"/>
      <c r="AS37" s="19"/>
    </row>
    <row r="38" spans="1:45" ht="75">
      <c r="A38" s="12" t="s">
        <v>172</v>
      </c>
      <c r="B38" s="101" t="s">
        <v>23</v>
      </c>
      <c r="C38" s="101" t="s">
        <v>36</v>
      </c>
      <c r="D38" s="101" t="s">
        <v>24</v>
      </c>
      <c r="E38" s="101" t="s">
        <v>45</v>
      </c>
      <c r="F38" s="101" t="s">
        <v>51</v>
      </c>
      <c r="G38" s="101" t="s">
        <v>37</v>
      </c>
      <c r="H38" s="101" t="s">
        <v>38</v>
      </c>
      <c r="I38" s="101" t="s">
        <v>37</v>
      </c>
      <c r="J38" s="101" t="s">
        <v>38</v>
      </c>
      <c r="K38" s="101" t="s">
        <v>52</v>
      </c>
      <c r="L38" s="101"/>
      <c r="M38" s="101" t="s">
        <v>24</v>
      </c>
      <c r="N38" s="101" t="s">
        <v>37</v>
      </c>
      <c r="O38" s="101" t="s">
        <v>38</v>
      </c>
      <c r="P38" s="101" t="s">
        <v>164</v>
      </c>
      <c r="Q38" s="101">
        <v>60</v>
      </c>
      <c r="R38" s="101">
        <v>17</v>
      </c>
      <c r="S38" s="101">
        <v>0.2</v>
      </c>
      <c r="T38" s="101">
        <v>0.1</v>
      </c>
      <c r="U38" s="101">
        <v>0.1</v>
      </c>
      <c r="V38" s="101">
        <f t="shared" si="0"/>
        <v>13</v>
      </c>
      <c r="W38" s="101">
        <v>40</v>
      </c>
      <c r="X38" s="101">
        <v>1.5</v>
      </c>
      <c r="Y38" s="101">
        <v>30</v>
      </c>
      <c r="Z38" s="101">
        <v>15</v>
      </c>
      <c r="AA38" s="101" t="s">
        <v>12</v>
      </c>
      <c r="AB38" s="101">
        <f>ROUND((((((Q38+AL38+AM38)/2)*2+((Y38+S38+U38+T38)*X38))/36)/2),2)</f>
        <v>1.83</v>
      </c>
      <c r="AC38" s="101">
        <f>ROUND((((((Q38+AL38+AM38)/2)*2+((Y38+S38+U38+T38)*X38))/36)/2),2)</f>
        <v>1.83</v>
      </c>
      <c r="AD38" s="101">
        <f t="shared" si="3"/>
        <v>1.7166666666666668</v>
      </c>
      <c r="AE38" s="101">
        <f t="shared" si="2"/>
        <v>13.13</v>
      </c>
      <c r="AF38" s="101">
        <f>1.83*25</f>
        <v>45.75</v>
      </c>
      <c r="AG38" s="101">
        <f>1.83*25</f>
        <v>45.75</v>
      </c>
      <c r="AH38" s="101">
        <f>1.83*10</f>
        <v>18.3</v>
      </c>
      <c r="AI38" s="101" t="s">
        <v>24</v>
      </c>
      <c r="AJ38" s="101">
        <v>6</v>
      </c>
      <c r="AK38" s="101">
        <v>241</v>
      </c>
      <c r="AL38" s="101">
        <v>13</v>
      </c>
      <c r="AM38" s="101">
        <v>13</v>
      </c>
      <c r="AN38" s="101">
        <v>4</v>
      </c>
      <c r="AO38" s="101" t="s">
        <v>58</v>
      </c>
      <c r="AP38" s="101"/>
      <c r="AQ38" s="101"/>
      <c r="AR38" s="101" t="s">
        <v>158</v>
      </c>
      <c r="AS38" s="19"/>
    </row>
    <row r="39" spans="1:45" ht="75">
      <c r="A39" s="12" t="s">
        <v>172</v>
      </c>
      <c r="B39" s="101" t="s">
        <v>23</v>
      </c>
      <c r="C39" s="101" t="s">
        <v>36</v>
      </c>
      <c r="D39" s="101" t="s">
        <v>24</v>
      </c>
      <c r="E39" s="101" t="s">
        <v>45</v>
      </c>
      <c r="F39" s="101" t="s">
        <v>173</v>
      </c>
      <c r="G39" s="101" t="s">
        <v>37</v>
      </c>
      <c r="H39" s="101" t="s">
        <v>38</v>
      </c>
      <c r="I39" s="101" t="s">
        <v>37</v>
      </c>
      <c r="J39" s="101" t="s">
        <v>38</v>
      </c>
      <c r="K39" s="101" t="s">
        <v>52</v>
      </c>
      <c r="L39" s="101"/>
      <c r="M39" s="101" t="s">
        <v>24</v>
      </c>
      <c r="N39" s="101" t="s">
        <v>37</v>
      </c>
      <c r="O39" s="101" t="s">
        <v>38</v>
      </c>
      <c r="P39" s="101" t="s">
        <v>164</v>
      </c>
      <c r="Q39" s="101">
        <v>60</v>
      </c>
      <c r="R39" s="101">
        <v>17</v>
      </c>
      <c r="S39" s="101">
        <v>0.2</v>
      </c>
      <c r="T39" s="101">
        <v>0.1</v>
      </c>
      <c r="U39" s="101">
        <v>0.1</v>
      </c>
      <c r="V39" s="101">
        <f t="shared" si="0"/>
        <v>13</v>
      </c>
      <c r="W39" s="101">
        <v>40</v>
      </c>
      <c r="X39" s="101">
        <v>1.5</v>
      </c>
      <c r="Y39" s="101">
        <v>30</v>
      </c>
      <c r="Z39" s="101">
        <v>15</v>
      </c>
      <c r="AA39" s="101" t="s">
        <v>12</v>
      </c>
      <c r="AB39" s="101">
        <f>ROUND(((((Q39+AL39+AM39)/2)*2+((Y39+S39+U39+T39)*X39))/36),2)</f>
        <v>3.66</v>
      </c>
      <c r="AC39" s="101">
        <f>ROUND(((((Q39+AL39+AM39)/2)*2+((Y39+S39+U39+T39)*X39))/36),2)</f>
        <v>3.66</v>
      </c>
      <c r="AD39" s="101">
        <f t="shared" si="3"/>
        <v>1.7166666666666668</v>
      </c>
      <c r="AE39" s="101">
        <f t="shared" si="2"/>
        <v>13.13</v>
      </c>
      <c r="AF39" s="101">
        <f>3.66*25</f>
        <v>91.5</v>
      </c>
      <c r="AG39" s="101">
        <f>3.66*25</f>
        <v>91.5</v>
      </c>
      <c r="AH39" s="101">
        <f>3.66*10</f>
        <v>36.6</v>
      </c>
      <c r="AI39" s="101" t="s">
        <v>24</v>
      </c>
      <c r="AJ39" s="101">
        <v>6</v>
      </c>
      <c r="AK39" s="101">
        <v>241</v>
      </c>
      <c r="AL39" s="101">
        <v>13</v>
      </c>
      <c r="AM39" s="101">
        <v>13</v>
      </c>
      <c r="AN39" s="101">
        <v>4</v>
      </c>
      <c r="AO39" s="101" t="s">
        <v>58</v>
      </c>
      <c r="AP39" s="101"/>
      <c r="AQ39" s="101"/>
      <c r="AR39" s="101" t="s">
        <v>158</v>
      </c>
      <c r="AS39" s="19"/>
    </row>
    <row r="40" spans="1:45" ht="75">
      <c r="A40" s="12" t="s">
        <v>172</v>
      </c>
      <c r="B40" s="101" t="s">
        <v>23</v>
      </c>
      <c r="C40" s="101" t="s">
        <v>36</v>
      </c>
      <c r="D40" s="101" t="s">
        <v>24</v>
      </c>
      <c r="E40" s="101" t="s">
        <v>45</v>
      </c>
      <c r="F40" s="101" t="s">
        <v>173</v>
      </c>
      <c r="G40" s="101" t="s">
        <v>37</v>
      </c>
      <c r="H40" s="101" t="s">
        <v>38</v>
      </c>
      <c r="I40" s="101" t="s">
        <v>37</v>
      </c>
      <c r="J40" s="101" t="s">
        <v>38</v>
      </c>
      <c r="K40" s="101" t="s">
        <v>52</v>
      </c>
      <c r="L40" s="101"/>
      <c r="M40" s="101" t="s">
        <v>24</v>
      </c>
      <c r="N40" s="101" t="s">
        <v>37</v>
      </c>
      <c r="O40" s="101" t="s">
        <v>38</v>
      </c>
      <c r="P40" s="101" t="s">
        <v>164</v>
      </c>
      <c r="Q40" s="101">
        <v>60</v>
      </c>
      <c r="R40" s="101">
        <v>13</v>
      </c>
      <c r="S40" s="101">
        <v>0.2</v>
      </c>
      <c r="T40" s="101">
        <v>0.1</v>
      </c>
      <c r="U40" s="101">
        <v>0.1</v>
      </c>
      <c r="V40" s="101">
        <f t="shared" si="0"/>
        <v>17</v>
      </c>
      <c r="W40" s="101">
        <v>40</v>
      </c>
      <c r="X40" s="101">
        <v>1.5</v>
      </c>
      <c r="Y40" s="101">
        <v>30</v>
      </c>
      <c r="Z40" s="101">
        <v>15</v>
      </c>
      <c r="AA40" s="101" t="s">
        <v>12</v>
      </c>
      <c r="AB40" s="101">
        <f>ROUND(((((Q40+AL40+AM40)/2)*2+((Y40+S40+U40+T40)*X40))/36),2)</f>
        <v>3.49</v>
      </c>
      <c r="AC40" s="101">
        <f>ROUND(((((Q40+AL40+AM40)/2)*2+((Y40+S40+U40+T40)*X40))/36),2)</f>
        <v>3.49</v>
      </c>
      <c r="AD40" s="101">
        <f t="shared" si="3"/>
        <v>2.0500000000000003</v>
      </c>
      <c r="AE40" s="101">
        <f t="shared" si="2"/>
        <v>13.13</v>
      </c>
      <c r="AF40" s="101">
        <f>3.49*25</f>
        <v>87.25</v>
      </c>
      <c r="AG40" s="101">
        <f>3.49*25</f>
        <v>87.25</v>
      </c>
      <c r="AH40" s="101">
        <f>3.49*10</f>
        <v>34.900000000000006</v>
      </c>
      <c r="AI40" s="101" t="s">
        <v>24</v>
      </c>
      <c r="AJ40" s="101">
        <v>9</v>
      </c>
      <c r="AK40" s="101">
        <v>241</v>
      </c>
      <c r="AL40" s="101">
        <v>10</v>
      </c>
      <c r="AM40" s="101">
        <v>10</v>
      </c>
      <c r="AN40" s="101">
        <v>3</v>
      </c>
      <c r="AO40" s="101" t="s">
        <v>53</v>
      </c>
      <c r="AP40" s="101"/>
      <c r="AQ40" s="101"/>
      <c r="AR40" s="101" t="s">
        <v>158</v>
      </c>
      <c r="AS40" s="19"/>
    </row>
    <row r="41" spans="1:45" ht="75">
      <c r="A41" s="12" t="s">
        <v>172</v>
      </c>
      <c r="B41" s="101" t="s">
        <v>23</v>
      </c>
      <c r="C41" s="101" t="s">
        <v>36</v>
      </c>
      <c r="D41" s="101" t="s">
        <v>24</v>
      </c>
      <c r="E41" s="101" t="s">
        <v>45</v>
      </c>
      <c r="F41" s="101" t="s">
        <v>55</v>
      </c>
      <c r="G41" s="101" t="s">
        <v>37</v>
      </c>
      <c r="H41" s="101" t="s">
        <v>38</v>
      </c>
      <c r="I41" s="101" t="s">
        <v>37</v>
      </c>
      <c r="J41" s="101" t="s">
        <v>38</v>
      </c>
      <c r="K41" s="101" t="s">
        <v>52</v>
      </c>
      <c r="L41" s="101"/>
      <c r="M41" s="101" t="s">
        <v>24</v>
      </c>
      <c r="N41" s="101" t="s">
        <v>37</v>
      </c>
      <c r="O41" s="101" t="s">
        <v>38</v>
      </c>
      <c r="P41" s="101" t="s">
        <v>164</v>
      </c>
      <c r="Q41" s="101">
        <v>60</v>
      </c>
      <c r="R41" s="101">
        <v>13</v>
      </c>
      <c r="S41" s="101">
        <v>0.2</v>
      </c>
      <c r="T41" s="101">
        <v>0.1</v>
      </c>
      <c r="U41" s="101">
        <v>0.1</v>
      </c>
      <c r="V41" s="101">
        <f t="shared" si="0"/>
        <v>17</v>
      </c>
      <c r="W41" s="101">
        <v>40</v>
      </c>
      <c r="X41" s="101">
        <v>1.5</v>
      </c>
      <c r="Y41" s="101">
        <v>30</v>
      </c>
      <c r="Z41" s="101">
        <v>15</v>
      </c>
      <c r="AA41" s="101" t="s">
        <v>12</v>
      </c>
      <c r="AB41" s="101">
        <f>ROUND((((((Q41+AL41+AM41)/2)*2+((Y41+S41+U41+T41)*1.5))/36)/2),2)</f>
        <v>1.74</v>
      </c>
      <c r="AC41" s="101">
        <f>ROUND((((((Q41+AL41+AM41)/2)*2+((Y41+S41+U41+T41)*1.5))/36)/2),2)</f>
        <v>1.74</v>
      </c>
      <c r="AD41" s="101">
        <f t="shared" si="3"/>
        <v>2.0500000000000003</v>
      </c>
      <c r="AE41" s="101">
        <f t="shared" si="2"/>
        <v>13.13</v>
      </c>
      <c r="AF41" s="101">
        <f>1.74*25</f>
        <v>43.5</v>
      </c>
      <c r="AG41" s="101">
        <f>1.74*25</f>
        <v>43.5</v>
      </c>
      <c r="AH41" s="101">
        <f>1.74*10</f>
        <v>17.399999999999999</v>
      </c>
      <c r="AI41" s="101" t="s">
        <v>24</v>
      </c>
      <c r="AJ41" s="101">
        <v>9</v>
      </c>
      <c r="AK41" s="101">
        <v>241</v>
      </c>
      <c r="AL41" s="101">
        <v>10</v>
      </c>
      <c r="AM41" s="101">
        <v>10</v>
      </c>
      <c r="AN41" s="101">
        <v>3</v>
      </c>
      <c r="AO41" s="101" t="s">
        <v>53</v>
      </c>
      <c r="AP41" s="101"/>
      <c r="AQ41" s="101"/>
      <c r="AR41" s="101" t="s">
        <v>158</v>
      </c>
      <c r="AS41" s="19"/>
    </row>
    <row r="42" spans="1:45" ht="75">
      <c r="A42" s="12" t="s">
        <v>67</v>
      </c>
      <c r="B42" s="101" t="s">
        <v>23</v>
      </c>
      <c r="C42" s="101" t="s">
        <v>36</v>
      </c>
      <c r="D42" s="101" t="s">
        <v>24</v>
      </c>
      <c r="E42" s="101" t="s">
        <v>45</v>
      </c>
      <c r="F42" s="101" t="s">
        <v>55</v>
      </c>
      <c r="G42" s="101" t="s">
        <v>37</v>
      </c>
      <c r="H42" s="101" t="s">
        <v>38</v>
      </c>
      <c r="I42" s="101" t="s">
        <v>37</v>
      </c>
      <c r="J42" s="101" t="s">
        <v>38</v>
      </c>
      <c r="K42" s="101" t="s">
        <v>29</v>
      </c>
      <c r="L42" s="101"/>
      <c r="M42" s="101" t="s">
        <v>32</v>
      </c>
      <c r="N42" s="101"/>
      <c r="O42" s="101"/>
      <c r="P42" s="101" t="s">
        <v>162</v>
      </c>
      <c r="Q42" s="101">
        <v>100</v>
      </c>
      <c r="R42" s="101">
        <v>13</v>
      </c>
      <c r="S42" s="101">
        <v>0.2</v>
      </c>
      <c r="T42" s="101">
        <v>0.1</v>
      </c>
      <c r="U42" s="101">
        <v>0.1</v>
      </c>
      <c r="V42" s="101">
        <f>(Q42-(R42*2))/2</f>
        <v>37</v>
      </c>
      <c r="W42" s="101">
        <v>40</v>
      </c>
      <c r="X42" s="101">
        <v>1.5</v>
      </c>
      <c r="Y42" s="101">
        <v>30</v>
      </c>
      <c r="Z42" s="101">
        <v>15</v>
      </c>
      <c r="AA42" s="101" t="s">
        <v>12</v>
      </c>
      <c r="AB42" s="101">
        <f>ROUND(((((((Q42+AL42+AM42)/2)*2+((Y42+S42+U42+T42)*1.5))/36)/2)/2)*2,2)</f>
        <v>2.33</v>
      </c>
      <c r="AC42" s="101">
        <f>ROUND(((((((Q42+AL42+AM42)/2)*2+((Y42+S42+U42+T42)*1.5))/36)/2)/2)*2,2)</f>
        <v>2.33</v>
      </c>
      <c r="AD42" s="101"/>
      <c r="AE42" s="101">
        <f>ROUND((X42*17.5)/2,2)</f>
        <v>13.13</v>
      </c>
      <c r="AF42" s="101">
        <f>2.33*25</f>
        <v>58.25</v>
      </c>
      <c r="AG42" s="101">
        <f>2.33*25</f>
        <v>58.25</v>
      </c>
      <c r="AH42" s="101"/>
      <c r="AI42" s="101" t="s">
        <v>24</v>
      </c>
      <c r="AJ42" s="101">
        <v>8</v>
      </c>
      <c r="AK42" s="101">
        <v>256</v>
      </c>
      <c r="AL42" s="101">
        <v>11</v>
      </c>
      <c r="AM42" s="101">
        <v>11</v>
      </c>
      <c r="AN42" s="101">
        <v>2</v>
      </c>
      <c r="AO42" s="101" t="s">
        <v>53</v>
      </c>
      <c r="AP42" s="101" t="s">
        <v>146</v>
      </c>
      <c r="AQ42" s="101">
        <v>3.5</v>
      </c>
      <c r="AR42" s="101" t="s">
        <v>158</v>
      </c>
      <c r="AS42" s="19"/>
    </row>
    <row r="43" spans="1:45" ht="75">
      <c r="A43" s="12" t="s">
        <v>67</v>
      </c>
      <c r="B43" s="101" t="s">
        <v>23</v>
      </c>
      <c r="C43" s="101" t="s">
        <v>36</v>
      </c>
      <c r="D43" s="101" t="s">
        <v>24</v>
      </c>
      <c r="E43" s="101" t="s">
        <v>45</v>
      </c>
      <c r="F43" s="101" t="s">
        <v>55</v>
      </c>
      <c r="G43" s="101" t="s">
        <v>37</v>
      </c>
      <c r="H43" s="101" t="s">
        <v>38</v>
      </c>
      <c r="I43" s="101" t="s">
        <v>37</v>
      </c>
      <c r="J43" s="101" t="s">
        <v>38</v>
      </c>
      <c r="K43" s="101" t="s">
        <v>29</v>
      </c>
      <c r="L43" s="101"/>
      <c r="M43" s="101" t="s">
        <v>24</v>
      </c>
      <c r="N43" s="101" t="s">
        <v>37</v>
      </c>
      <c r="O43" s="101" t="s">
        <v>38</v>
      </c>
      <c r="P43" s="101" t="s">
        <v>162</v>
      </c>
      <c r="Q43" s="101">
        <v>100</v>
      </c>
      <c r="R43" s="101">
        <v>13</v>
      </c>
      <c r="S43" s="101">
        <v>0.2</v>
      </c>
      <c r="T43" s="101">
        <v>0.1</v>
      </c>
      <c r="U43" s="101">
        <v>0.1</v>
      </c>
      <c r="V43" s="101">
        <f>(Q43-(R43*2))/2</f>
        <v>37</v>
      </c>
      <c r="W43" s="101">
        <v>40</v>
      </c>
      <c r="X43" s="101">
        <v>1.5</v>
      </c>
      <c r="Y43" s="101">
        <v>30</v>
      </c>
      <c r="Z43" s="101">
        <v>15</v>
      </c>
      <c r="AA43" s="101" t="s">
        <v>12</v>
      </c>
      <c r="AB43" s="101">
        <f>ROUND(((((((Q43+AL43+AM43)/2)*2+((Y43+S43+U43+T43)*1.5))/36)/2)/2)*2,2)</f>
        <v>2.33</v>
      </c>
      <c r="AC43" s="101">
        <f>ROUND(((((((Q43+AL43+AM43)/2)*2+((Y43+S43+U43+T43)*1.5))/36)/2)/2)*2,2)</f>
        <v>2.33</v>
      </c>
      <c r="AD43" s="101">
        <f>((((Q43-R43*2)*2)+(Z43+S43)*2)*X43/36)/2</f>
        <v>3.7166666666666668</v>
      </c>
      <c r="AE43" s="101">
        <f>ROUND((X43*17.5)/2,2)</f>
        <v>13.13</v>
      </c>
      <c r="AF43" s="101">
        <f>2.33*25</f>
        <v>58.25</v>
      </c>
      <c r="AG43" s="101">
        <f>2.33*25</f>
        <v>58.25</v>
      </c>
      <c r="AH43" s="101">
        <f>2.33*10</f>
        <v>23.3</v>
      </c>
      <c r="AI43" s="101" t="s">
        <v>24</v>
      </c>
      <c r="AJ43" s="101">
        <v>8</v>
      </c>
      <c r="AK43" s="101">
        <v>256</v>
      </c>
      <c r="AL43" s="101">
        <v>11</v>
      </c>
      <c r="AM43" s="101">
        <v>11</v>
      </c>
      <c r="AN43" s="101">
        <v>2</v>
      </c>
      <c r="AO43" s="101" t="s">
        <v>53</v>
      </c>
      <c r="AP43" s="101" t="s">
        <v>146</v>
      </c>
      <c r="AQ43" s="101">
        <v>3.5</v>
      </c>
      <c r="AR43" s="101" t="s">
        <v>158</v>
      </c>
      <c r="AS43" s="19"/>
    </row>
    <row r="44" spans="1:45" ht="75">
      <c r="A44" s="12" t="s">
        <v>67</v>
      </c>
      <c r="B44" s="101" t="s">
        <v>23</v>
      </c>
      <c r="C44" s="101" t="s">
        <v>36</v>
      </c>
      <c r="D44" s="101" t="s">
        <v>24</v>
      </c>
      <c r="E44" s="101" t="s">
        <v>45</v>
      </c>
      <c r="F44" s="101" t="s">
        <v>55</v>
      </c>
      <c r="G44" s="101" t="s">
        <v>37</v>
      </c>
      <c r="H44" s="101" t="s">
        <v>38</v>
      </c>
      <c r="I44" s="101" t="s">
        <v>37</v>
      </c>
      <c r="J44" s="101" t="s">
        <v>38</v>
      </c>
      <c r="K44" s="101" t="s">
        <v>192</v>
      </c>
      <c r="L44" s="101"/>
      <c r="M44" s="101" t="s">
        <v>24</v>
      </c>
      <c r="N44" s="101" t="s">
        <v>37</v>
      </c>
      <c r="O44" s="101" t="s">
        <v>38</v>
      </c>
      <c r="P44" s="101" t="s">
        <v>162</v>
      </c>
      <c r="Q44" s="101">
        <v>100</v>
      </c>
      <c r="R44" s="101">
        <v>13</v>
      </c>
      <c r="S44" s="101">
        <v>0.2</v>
      </c>
      <c r="T44" s="101">
        <v>0.1</v>
      </c>
      <c r="U44" s="101">
        <v>0.1</v>
      </c>
      <c r="V44" s="101">
        <f>(Q44-(R44*2))/2</f>
        <v>37</v>
      </c>
      <c r="W44" s="101">
        <v>40</v>
      </c>
      <c r="X44" s="101">
        <v>1.5</v>
      </c>
      <c r="Y44" s="101">
        <v>30</v>
      </c>
      <c r="Z44" s="101">
        <v>15</v>
      </c>
      <c r="AA44" s="101" t="s">
        <v>12</v>
      </c>
      <c r="AB44" s="101">
        <f>ROUND(((((((Q44+AL44+AM44)/2)*2+((Y44+S44+U44+T44)*1.5))/36)/2)/2),2)</f>
        <v>1.1599999999999999</v>
      </c>
      <c r="AC44" s="101">
        <f>ROUND(((((((Q44+AL44+AM44)/2)*2+((Y44+S44+U44+T44)*1.5))/36)/2)/2),2)</f>
        <v>1.1599999999999999</v>
      </c>
      <c r="AD44" s="101">
        <f>((((Q44-R44*2)*2)+(Z44+S44)*2)*X44/36)/2</f>
        <v>3.7166666666666668</v>
      </c>
      <c r="AE44" s="101">
        <f>ROUND((X44*17.5)/2,2)</f>
        <v>13.13</v>
      </c>
      <c r="AF44" s="101">
        <f>1.16*25</f>
        <v>28.999999999999996</v>
      </c>
      <c r="AG44" s="101">
        <f>1.16*25</f>
        <v>28.999999999999996</v>
      </c>
      <c r="AH44" s="101">
        <f>1.16*10</f>
        <v>11.6</v>
      </c>
      <c r="AI44" s="101" t="s">
        <v>24</v>
      </c>
      <c r="AJ44" s="101">
        <v>8</v>
      </c>
      <c r="AK44" s="101">
        <v>256</v>
      </c>
      <c r="AL44" s="101">
        <v>11</v>
      </c>
      <c r="AM44" s="101">
        <v>11</v>
      </c>
      <c r="AN44" s="101">
        <v>2</v>
      </c>
      <c r="AO44" s="101" t="s">
        <v>53</v>
      </c>
      <c r="AP44" s="101" t="s">
        <v>146</v>
      </c>
      <c r="AQ44" s="101">
        <v>3.5</v>
      </c>
      <c r="AR44" s="101" t="s">
        <v>158</v>
      </c>
      <c r="AS44" s="19"/>
    </row>
    <row r="45" spans="1:45" ht="75">
      <c r="A45" s="12" t="s">
        <v>67</v>
      </c>
      <c r="B45" s="101" t="s">
        <v>23</v>
      </c>
      <c r="C45" s="101" t="s">
        <v>175</v>
      </c>
      <c r="D45" s="101" t="s">
        <v>24</v>
      </c>
      <c r="E45" s="101" t="s">
        <v>45</v>
      </c>
      <c r="F45" s="101" t="s">
        <v>55</v>
      </c>
      <c r="G45" s="101" t="s">
        <v>37</v>
      </c>
      <c r="H45" s="101" t="s">
        <v>38</v>
      </c>
      <c r="I45" s="101" t="s">
        <v>37</v>
      </c>
      <c r="J45" s="101" t="s">
        <v>38</v>
      </c>
      <c r="K45" s="101" t="s">
        <v>192</v>
      </c>
      <c r="L45" s="101"/>
      <c r="M45" s="101" t="s">
        <v>24</v>
      </c>
      <c r="N45" s="101" t="s">
        <v>37</v>
      </c>
      <c r="O45" s="101" t="s">
        <v>38</v>
      </c>
      <c r="P45" s="101" t="s">
        <v>162</v>
      </c>
      <c r="Q45" s="101">
        <v>100</v>
      </c>
      <c r="R45" s="101">
        <v>13</v>
      </c>
      <c r="S45" s="101">
        <v>20</v>
      </c>
      <c r="T45" s="101">
        <v>40</v>
      </c>
      <c r="U45" s="101"/>
      <c r="V45" s="101">
        <f>(Q45-(AN45*2))/2</f>
        <v>48</v>
      </c>
      <c r="W45" s="101">
        <v>40</v>
      </c>
      <c r="X45" s="101">
        <v>1.5</v>
      </c>
      <c r="Y45" s="101">
        <v>30</v>
      </c>
      <c r="Z45" s="101">
        <v>15</v>
      </c>
      <c r="AA45" s="101" t="s">
        <v>12</v>
      </c>
      <c r="AB45" s="101">
        <f>(((((Q45-AN45*2)*2)+(Y45+Z45*4)+(S45+U45*2)*1.5)*2/36)/2)/2</f>
        <v>4.333333333333333</v>
      </c>
      <c r="AC45" s="101">
        <f>(((((Q45-AN45*2)*2)+(Y45+Z45*4)+(S45+U45*2)*1.5)*2/36)/2)/2</f>
        <v>4.333333333333333</v>
      </c>
      <c r="AD45" s="101">
        <f>(((Q45-AN45*2)*2+(Z45+Y45+S45)*2)*X45/36)/2</f>
        <v>6.708333333333333</v>
      </c>
      <c r="AE45" s="101">
        <f>ROUND((X45*17.5)/2,2)</f>
        <v>13.13</v>
      </c>
      <c r="AF45" s="101">
        <f>4.33333333333333*25</f>
        <v>108.33333333333326</v>
      </c>
      <c r="AG45" s="101">
        <f>4.33333333333333*25</f>
        <v>108.33333333333326</v>
      </c>
      <c r="AH45" s="101">
        <f>4.33333333333333*10</f>
        <v>43.3333333333333</v>
      </c>
      <c r="AI45" s="101" t="s">
        <v>24</v>
      </c>
      <c r="AJ45" s="101">
        <v>8</v>
      </c>
      <c r="AK45" s="101">
        <v>256</v>
      </c>
      <c r="AL45" s="101">
        <v>11</v>
      </c>
      <c r="AM45" s="101">
        <v>11</v>
      </c>
      <c r="AN45" s="101">
        <v>2</v>
      </c>
      <c r="AO45" s="101" t="s">
        <v>53</v>
      </c>
      <c r="AP45" s="101" t="s">
        <v>146</v>
      </c>
      <c r="AQ45" s="101">
        <v>3.5</v>
      </c>
      <c r="AR45" s="101" t="s">
        <v>158</v>
      </c>
      <c r="AS45" s="19"/>
    </row>
    <row r="46" spans="1:45">
      <c r="A46" s="12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101"/>
      <c r="AB46" s="101"/>
      <c r="AC46" s="101"/>
      <c r="AD46" s="101"/>
      <c r="AE46" s="101"/>
      <c r="AF46" s="101"/>
      <c r="AG46" s="101"/>
      <c r="AH46" s="101"/>
      <c r="AI46" s="101"/>
      <c r="AJ46" s="101"/>
      <c r="AK46" s="101"/>
      <c r="AL46" s="101"/>
      <c r="AM46" s="101"/>
      <c r="AN46" s="101"/>
      <c r="AO46" s="101"/>
      <c r="AP46" s="101"/>
      <c r="AQ46" s="101"/>
      <c r="AR46" s="101"/>
      <c r="AS46" s="19"/>
    </row>
    <row r="47" spans="1:45">
      <c r="A47" s="12"/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  <c r="R47" s="101"/>
      <c r="S47" s="101"/>
      <c r="T47" s="101"/>
      <c r="U47" s="101"/>
      <c r="V47" s="101"/>
      <c r="W47" s="101"/>
      <c r="X47" s="101"/>
      <c r="Y47" s="101"/>
      <c r="Z47" s="101"/>
      <c r="AA47" s="101"/>
      <c r="AB47" s="101"/>
      <c r="AC47" s="101"/>
      <c r="AD47" s="101"/>
      <c r="AE47" s="101"/>
      <c r="AF47" s="101"/>
      <c r="AG47" s="101"/>
      <c r="AH47" s="101"/>
      <c r="AI47" s="101"/>
      <c r="AJ47" s="101"/>
      <c r="AK47" s="101"/>
      <c r="AL47" s="101"/>
      <c r="AM47" s="101"/>
      <c r="AN47" s="101"/>
      <c r="AO47" s="101"/>
      <c r="AP47" s="101"/>
      <c r="AQ47" s="101"/>
      <c r="AR47" s="101"/>
      <c r="AS47" s="19"/>
    </row>
    <row r="48" spans="1:45">
      <c r="A48" s="12"/>
      <c r="B48" s="101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  <c r="AC48" s="101"/>
      <c r="AD48" s="101"/>
      <c r="AE48" s="101"/>
      <c r="AF48" s="101"/>
      <c r="AG48" s="101"/>
      <c r="AH48" s="101"/>
      <c r="AI48" s="101"/>
      <c r="AJ48" s="101"/>
      <c r="AK48" s="101"/>
      <c r="AL48" s="101"/>
      <c r="AM48" s="101"/>
      <c r="AN48" s="101"/>
      <c r="AO48" s="101"/>
      <c r="AP48" s="101"/>
      <c r="AQ48" s="101"/>
      <c r="AR48" s="101"/>
      <c r="AS48" s="19"/>
    </row>
    <row r="49" spans="1:45">
      <c r="A49" s="12"/>
      <c r="B49" s="101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  <c r="AC49" s="101"/>
      <c r="AD49" s="101"/>
      <c r="AE49" s="101"/>
      <c r="AF49" s="101"/>
      <c r="AG49" s="101"/>
      <c r="AH49" s="101"/>
      <c r="AI49" s="101"/>
      <c r="AJ49" s="101"/>
      <c r="AK49" s="101"/>
      <c r="AL49" s="101"/>
      <c r="AM49" s="101"/>
      <c r="AN49" s="101"/>
      <c r="AO49" s="101"/>
      <c r="AP49" s="101"/>
      <c r="AQ49" s="101"/>
      <c r="AR49" s="101"/>
      <c r="AS49" s="19"/>
    </row>
    <row r="50" spans="1:45">
      <c r="A50" s="12"/>
      <c r="B50" s="101"/>
      <c r="C50" s="101"/>
      <c r="D50" s="101"/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  <c r="AC50" s="101"/>
      <c r="AD50" s="101"/>
      <c r="AE50" s="101"/>
      <c r="AF50" s="101"/>
      <c r="AG50" s="101"/>
      <c r="AH50" s="101"/>
      <c r="AI50" s="101"/>
      <c r="AJ50" s="101"/>
      <c r="AK50" s="101"/>
      <c r="AL50" s="101"/>
      <c r="AM50" s="101"/>
      <c r="AN50" s="101"/>
      <c r="AO50" s="101"/>
      <c r="AP50" s="101"/>
      <c r="AQ50" s="101"/>
      <c r="AR50" s="101"/>
      <c r="AS50" s="19"/>
    </row>
    <row r="51" spans="1:45">
      <c r="A51" s="12"/>
      <c r="B51" s="101"/>
      <c r="C51" s="101"/>
      <c r="D51" s="101"/>
      <c r="E51" s="101"/>
      <c r="F51" s="101"/>
      <c r="G51" s="101"/>
      <c r="H51" s="101"/>
      <c r="I51" s="101"/>
      <c r="J51" s="101"/>
      <c r="K51" s="101"/>
      <c r="L51" s="101"/>
      <c r="M51" s="101"/>
      <c r="N51" s="101"/>
      <c r="O51" s="101"/>
      <c r="P51" s="101"/>
      <c r="Q51" s="101"/>
      <c r="R51" s="101"/>
      <c r="S51" s="101"/>
      <c r="T51" s="101"/>
      <c r="U51" s="101"/>
      <c r="V51" s="101"/>
      <c r="W51" s="101"/>
      <c r="X51" s="101"/>
      <c r="Y51" s="101"/>
      <c r="Z51" s="101"/>
      <c r="AA51" s="101"/>
      <c r="AB51" s="101"/>
      <c r="AC51" s="101"/>
      <c r="AD51" s="101"/>
      <c r="AE51" s="101"/>
      <c r="AF51" s="101"/>
      <c r="AG51" s="101"/>
      <c r="AH51" s="101"/>
      <c r="AI51" s="101"/>
      <c r="AJ51" s="101"/>
      <c r="AK51" s="101"/>
      <c r="AL51" s="101"/>
      <c r="AM51" s="101"/>
      <c r="AN51" s="101"/>
      <c r="AO51" s="101"/>
      <c r="AP51" s="101"/>
      <c r="AQ51" s="101"/>
      <c r="AR51" s="101"/>
      <c r="AS51" s="19"/>
    </row>
    <row r="52" spans="1:45">
      <c r="A52" s="12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1"/>
      <c r="AL52" s="101"/>
      <c r="AM52" s="101"/>
      <c r="AN52" s="101"/>
      <c r="AO52" s="101"/>
      <c r="AP52" s="101"/>
      <c r="AQ52" s="101"/>
      <c r="AR52" s="101"/>
      <c r="AS52" s="19"/>
    </row>
    <row r="53" spans="1:45">
      <c r="A53" s="12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1"/>
      <c r="AL53" s="101"/>
      <c r="AM53" s="101"/>
      <c r="AN53" s="101"/>
      <c r="AO53" s="101"/>
      <c r="AP53" s="101"/>
      <c r="AQ53" s="101"/>
      <c r="AR53" s="101"/>
      <c r="AS53" s="19"/>
    </row>
    <row r="54" spans="1:45">
      <c r="A54" s="12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1"/>
      <c r="O54" s="101"/>
      <c r="P54" s="101"/>
      <c r="Q54" s="101"/>
      <c r="R54" s="101"/>
      <c r="S54" s="101"/>
      <c r="T54" s="101"/>
      <c r="U54" s="101"/>
      <c r="V54" s="101"/>
      <c r="W54" s="101"/>
      <c r="X54" s="101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1"/>
      <c r="AL54" s="101"/>
      <c r="AM54" s="101"/>
      <c r="AN54" s="101"/>
      <c r="AO54" s="101"/>
      <c r="AP54" s="101"/>
      <c r="AQ54" s="101"/>
      <c r="AR54" s="101"/>
      <c r="AS54" s="19"/>
    </row>
    <row r="55" spans="1:45">
      <c r="A55" s="12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1"/>
      <c r="O55" s="101"/>
      <c r="P55" s="101"/>
      <c r="Q55" s="101"/>
      <c r="R55" s="101"/>
      <c r="S55" s="101"/>
      <c r="T55" s="101"/>
      <c r="U55" s="101"/>
      <c r="V55" s="101"/>
      <c r="W55" s="101"/>
      <c r="X55" s="101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1"/>
      <c r="AL55" s="101"/>
      <c r="AM55" s="101"/>
      <c r="AN55" s="101"/>
      <c r="AO55" s="101"/>
      <c r="AP55" s="101"/>
      <c r="AQ55" s="101"/>
      <c r="AR55" s="101"/>
      <c r="AS55" s="19"/>
    </row>
    <row r="56" spans="1:45">
      <c r="A56" s="12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1"/>
      <c r="AL56" s="101"/>
      <c r="AM56" s="101"/>
      <c r="AN56" s="101"/>
      <c r="AO56" s="101"/>
      <c r="AP56" s="101"/>
      <c r="AQ56" s="101"/>
      <c r="AR56" s="101"/>
      <c r="AS56" s="19"/>
    </row>
    <row r="57" spans="1:45">
      <c r="A57" s="12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  <c r="O57" s="101"/>
      <c r="P57" s="101"/>
      <c r="Q57" s="101"/>
      <c r="R57" s="101"/>
      <c r="S57" s="101"/>
      <c r="T57" s="101"/>
      <c r="U57" s="101"/>
      <c r="V57" s="101"/>
      <c r="W57" s="101"/>
      <c r="X57" s="101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1"/>
      <c r="AL57" s="101"/>
      <c r="AM57" s="101"/>
      <c r="AN57" s="101"/>
      <c r="AO57" s="101"/>
      <c r="AP57" s="101"/>
      <c r="AQ57" s="101"/>
      <c r="AR57" s="101"/>
      <c r="AS57" s="19"/>
    </row>
    <row r="58" spans="1:45">
      <c r="A58" s="12"/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  <c r="R58" s="101"/>
      <c r="S58" s="101"/>
      <c r="T58" s="101"/>
      <c r="U58" s="101"/>
      <c r="V58" s="101"/>
      <c r="W58" s="101"/>
      <c r="X58" s="101"/>
      <c r="Y58" s="101"/>
      <c r="Z58" s="101"/>
      <c r="AA58" s="101"/>
      <c r="AB58" s="101"/>
      <c r="AC58" s="101"/>
      <c r="AD58" s="101"/>
      <c r="AE58" s="101"/>
      <c r="AF58" s="101"/>
      <c r="AG58" s="101"/>
      <c r="AH58" s="101"/>
      <c r="AI58" s="101"/>
      <c r="AJ58" s="101"/>
      <c r="AK58" s="101"/>
      <c r="AL58" s="101"/>
      <c r="AM58" s="101"/>
      <c r="AN58" s="101"/>
      <c r="AO58" s="101"/>
      <c r="AP58" s="101"/>
      <c r="AQ58" s="101"/>
      <c r="AR58" s="101"/>
      <c r="AS58" s="19"/>
    </row>
    <row r="59" spans="1:45">
      <c r="A59" s="12"/>
      <c r="B59" s="101"/>
      <c r="C59" s="101"/>
      <c r="D59" s="101"/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  <c r="AC59" s="101"/>
      <c r="AD59" s="101"/>
      <c r="AE59" s="101"/>
      <c r="AF59" s="101"/>
      <c r="AG59" s="101"/>
      <c r="AH59" s="101"/>
      <c r="AI59" s="101"/>
      <c r="AJ59" s="101"/>
      <c r="AK59" s="101"/>
      <c r="AL59" s="101"/>
      <c r="AM59" s="101"/>
      <c r="AN59" s="101"/>
      <c r="AO59" s="101"/>
      <c r="AP59" s="101"/>
      <c r="AQ59" s="101"/>
      <c r="AR59" s="101"/>
      <c r="AS59" s="19"/>
    </row>
    <row r="60" spans="1:45">
      <c r="A60" s="12"/>
      <c r="B60" s="101"/>
      <c r="C60" s="101"/>
      <c r="D60" s="101"/>
      <c r="E60" s="101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  <c r="AA60" s="101"/>
      <c r="AB60" s="101"/>
      <c r="AC60" s="101"/>
      <c r="AD60" s="101"/>
      <c r="AE60" s="101"/>
      <c r="AF60" s="101"/>
      <c r="AG60" s="101"/>
      <c r="AH60" s="101"/>
      <c r="AI60" s="101"/>
      <c r="AJ60" s="101"/>
      <c r="AK60" s="101"/>
      <c r="AL60" s="101"/>
      <c r="AM60" s="101"/>
      <c r="AN60" s="101"/>
      <c r="AO60" s="101"/>
      <c r="AP60" s="101"/>
      <c r="AQ60" s="101"/>
      <c r="AR60" s="101"/>
      <c r="AS60" s="19"/>
    </row>
    <row r="61" spans="1:45">
      <c r="A61" s="12"/>
      <c r="B61" s="101"/>
      <c r="C61" s="101"/>
      <c r="D61" s="101"/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  <c r="AC61" s="101"/>
      <c r="AD61" s="101"/>
      <c r="AE61" s="101"/>
      <c r="AF61" s="101"/>
      <c r="AG61" s="101"/>
      <c r="AH61" s="101"/>
      <c r="AI61" s="101"/>
      <c r="AJ61" s="101"/>
      <c r="AK61" s="101"/>
      <c r="AL61" s="101"/>
      <c r="AM61" s="101"/>
      <c r="AN61" s="101"/>
      <c r="AO61" s="101"/>
      <c r="AP61" s="101"/>
      <c r="AQ61" s="101"/>
      <c r="AR61" s="101"/>
      <c r="AS61" s="19"/>
    </row>
    <row r="62" spans="1:45">
      <c r="A62" s="12"/>
      <c r="B62" s="101"/>
      <c r="C62" s="101"/>
      <c r="D62" s="101"/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  <c r="AC62" s="101"/>
      <c r="AD62" s="101"/>
      <c r="AE62" s="101"/>
      <c r="AF62" s="101"/>
      <c r="AG62" s="101"/>
      <c r="AH62" s="101"/>
      <c r="AI62" s="101"/>
      <c r="AJ62" s="101"/>
      <c r="AK62" s="101"/>
      <c r="AL62" s="101"/>
      <c r="AM62" s="101"/>
      <c r="AN62" s="101"/>
      <c r="AO62" s="101"/>
      <c r="AP62" s="101"/>
      <c r="AQ62" s="101"/>
      <c r="AR62" s="101"/>
      <c r="AS62" s="19"/>
    </row>
    <row r="63" spans="1:45">
      <c r="A63" s="12"/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01"/>
      <c r="P63" s="101"/>
      <c r="Q63" s="101"/>
      <c r="R63" s="101"/>
      <c r="S63" s="101"/>
      <c r="T63" s="101"/>
      <c r="U63" s="101"/>
      <c r="V63" s="101"/>
      <c r="W63" s="101"/>
      <c r="X63" s="101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101"/>
      <c r="AJ63" s="101"/>
      <c r="AK63" s="101"/>
      <c r="AL63" s="101"/>
      <c r="AM63" s="101"/>
      <c r="AN63" s="101"/>
      <c r="AO63" s="101"/>
      <c r="AP63" s="101"/>
      <c r="AQ63" s="101"/>
      <c r="AR63" s="101"/>
      <c r="AS63" s="19"/>
    </row>
    <row r="64" spans="1:45">
      <c r="A64" s="12"/>
      <c r="B64" s="101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  <c r="AC64" s="101"/>
      <c r="AD64" s="101"/>
      <c r="AE64" s="101"/>
      <c r="AF64" s="101"/>
      <c r="AG64" s="101"/>
      <c r="AH64" s="101"/>
      <c r="AI64" s="101"/>
      <c r="AJ64" s="101"/>
      <c r="AK64" s="101"/>
      <c r="AL64" s="101"/>
      <c r="AM64" s="101"/>
      <c r="AN64" s="101"/>
      <c r="AO64" s="101"/>
      <c r="AP64" s="101"/>
      <c r="AQ64" s="101"/>
      <c r="AR64" s="101"/>
      <c r="AS64" s="19"/>
    </row>
    <row r="65" spans="1:45">
      <c r="A65" s="12"/>
      <c r="B65" s="101"/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1"/>
      <c r="N65" s="101"/>
      <c r="O65" s="101"/>
      <c r="P65" s="101"/>
      <c r="Q65" s="101"/>
      <c r="R65" s="101"/>
      <c r="S65" s="101"/>
      <c r="T65" s="101"/>
      <c r="U65" s="101"/>
      <c r="V65" s="101"/>
      <c r="W65" s="101"/>
      <c r="X65" s="101"/>
      <c r="Y65" s="101"/>
      <c r="Z65" s="101"/>
      <c r="AA65" s="101"/>
      <c r="AB65" s="101"/>
      <c r="AC65" s="101"/>
      <c r="AD65" s="101"/>
      <c r="AE65" s="101"/>
      <c r="AF65" s="101"/>
      <c r="AG65" s="101"/>
      <c r="AH65" s="101"/>
      <c r="AI65" s="101"/>
      <c r="AJ65" s="101"/>
      <c r="AK65" s="101"/>
      <c r="AL65" s="101"/>
      <c r="AM65" s="101"/>
      <c r="AN65" s="101"/>
      <c r="AO65" s="101"/>
      <c r="AP65" s="101"/>
      <c r="AQ65" s="101"/>
      <c r="AR65" s="101"/>
      <c r="AS65" s="19"/>
    </row>
    <row r="66" spans="1:45">
      <c r="A66" s="12"/>
      <c r="B66" s="101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1"/>
      <c r="AF66" s="101"/>
      <c r="AG66" s="101"/>
      <c r="AH66" s="101"/>
      <c r="AI66" s="101"/>
      <c r="AJ66" s="101"/>
      <c r="AK66" s="101"/>
      <c r="AL66" s="101"/>
      <c r="AM66" s="101"/>
      <c r="AN66" s="101"/>
      <c r="AO66" s="101"/>
      <c r="AP66" s="101"/>
      <c r="AQ66" s="101"/>
      <c r="AR66" s="101"/>
      <c r="AS66" s="19"/>
    </row>
    <row r="67" spans="1:45">
      <c r="A67" s="12"/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  <c r="R67" s="101"/>
      <c r="S67" s="101"/>
      <c r="T67" s="101"/>
      <c r="U67" s="101"/>
      <c r="V67" s="101"/>
      <c r="W67" s="101"/>
      <c r="X67" s="101"/>
      <c r="Y67" s="101"/>
      <c r="Z67" s="101"/>
      <c r="AA67" s="101"/>
      <c r="AB67" s="101"/>
      <c r="AC67" s="101"/>
      <c r="AD67" s="101"/>
      <c r="AE67" s="101"/>
      <c r="AF67" s="101"/>
      <c r="AG67" s="101"/>
      <c r="AH67" s="101"/>
      <c r="AI67" s="101"/>
      <c r="AJ67" s="101"/>
      <c r="AK67" s="101"/>
      <c r="AL67" s="101"/>
      <c r="AM67" s="101"/>
      <c r="AN67" s="101"/>
      <c r="AO67" s="101"/>
      <c r="AP67" s="101"/>
      <c r="AQ67" s="101"/>
      <c r="AR67" s="101"/>
      <c r="AS67" s="19"/>
    </row>
    <row r="68" spans="1:45">
      <c r="A68" s="12"/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101"/>
      <c r="AC68" s="101"/>
      <c r="AD68" s="101"/>
      <c r="AE68" s="101"/>
      <c r="AF68" s="101"/>
      <c r="AG68" s="101"/>
      <c r="AH68" s="101"/>
      <c r="AI68" s="101"/>
      <c r="AJ68" s="101"/>
      <c r="AK68" s="101"/>
      <c r="AL68" s="101"/>
      <c r="AM68" s="101"/>
      <c r="AN68" s="101"/>
      <c r="AO68" s="101"/>
      <c r="AP68" s="101"/>
      <c r="AQ68" s="101"/>
      <c r="AR68" s="101"/>
      <c r="AS68" s="19"/>
    </row>
    <row r="69" spans="1:45">
      <c r="A69" s="12"/>
      <c r="B69" s="101"/>
      <c r="C69" s="101"/>
      <c r="D69" s="101"/>
      <c r="E69" s="101"/>
      <c r="F69" s="101"/>
      <c r="G69" s="101"/>
      <c r="H69" s="101"/>
      <c r="I69" s="101"/>
      <c r="J69" s="101"/>
      <c r="K69" s="101"/>
      <c r="L69" s="101"/>
      <c r="M69" s="101"/>
      <c r="N69" s="101"/>
      <c r="O69" s="101"/>
      <c r="P69" s="101"/>
      <c r="Q69" s="101"/>
      <c r="R69" s="101"/>
      <c r="S69" s="101"/>
      <c r="T69" s="101"/>
      <c r="U69" s="101"/>
      <c r="V69" s="101"/>
      <c r="W69" s="101"/>
      <c r="X69" s="101"/>
      <c r="Y69" s="101"/>
      <c r="Z69" s="101"/>
      <c r="AA69" s="101"/>
      <c r="AB69" s="101"/>
      <c r="AC69" s="101"/>
      <c r="AD69" s="101"/>
      <c r="AE69" s="101"/>
      <c r="AF69" s="101"/>
      <c r="AG69" s="101"/>
      <c r="AH69" s="101"/>
      <c r="AI69" s="101"/>
      <c r="AJ69" s="101"/>
      <c r="AK69" s="101"/>
      <c r="AL69" s="101"/>
      <c r="AM69" s="101"/>
      <c r="AN69" s="101"/>
      <c r="AO69" s="101"/>
      <c r="AP69" s="101"/>
      <c r="AQ69" s="101"/>
      <c r="AR69" s="101"/>
      <c r="AS69" s="19"/>
    </row>
    <row r="70" spans="1:45">
      <c r="A70" s="12"/>
      <c r="B70" s="101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101"/>
      <c r="AK70" s="101"/>
      <c r="AL70" s="101"/>
      <c r="AM70" s="101"/>
      <c r="AN70" s="101"/>
      <c r="AO70" s="101"/>
      <c r="AP70" s="101"/>
      <c r="AQ70" s="101"/>
      <c r="AR70" s="101"/>
      <c r="AS70" s="19"/>
    </row>
    <row r="71" spans="1:45">
      <c r="A71" s="12"/>
      <c r="B71" s="101"/>
      <c r="C71" s="101"/>
      <c r="D71" s="101"/>
      <c r="E71" s="101"/>
      <c r="F71" s="101"/>
      <c r="G71" s="101"/>
      <c r="H71" s="101"/>
      <c r="I71" s="101"/>
      <c r="J71" s="101"/>
      <c r="K71" s="101"/>
      <c r="L71" s="101"/>
      <c r="M71" s="101"/>
      <c r="N71" s="101"/>
      <c r="O71" s="101"/>
      <c r="P71" s="101"/>
      <c r="Q71" s="101"/>
      <c r="R71" s="101"/>
      <c r="S71" s="101"/>
      <c r="T71" s="101"/>
      <c r="U71" s="101"/>
      <c r="V71" s="101"/>
      <c r="W71" s="101"/>
      <c r="X71" s="101"/>
      <c r="Y71" s="101"/>
      <c r="Z71" s="101"/>
      <c r="AA71" s="101"/>
      <c r="AB71" s="101"/>
      <c r="AC71" s="101"/>
      <c r="AD71" s="101"/>
      <c r="AE71" s="101"/>
      <c r="AF71" s="101"/>
      <c r="AG71" s="101"/>
      <c r="AH71" s="101"/>
      <c r="AI71" s="101"/>
      <c r="AJ71" s="101"/>
      <c r="AK71" s="101"/>
      <c r="AL71" s="101"/>
      <c r="AM71" s="101"/>
      <c r="AN71" s="101"/>
      <c r="AO71" s="101"/>
      <c r="AP71" s="101"/>
      <c r="AQ71" s="101"/>
      <c r="AR71" s="101"/>
      <c r="AS71" s="19"/>
    </row>
    <row r="72" spans="1:45">
      <c r="A72" s="12"/>
      <c r="B72" s="101"/>
      <c r="C72" s="101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101"/>
      <c r="V72" s="101"/>
      <c r="W72" s="101"/>
      <c r="X72" s="101"/>
      <c r="Y72" s="101"/>
      <c r="Z72" s="101"/>
      <c r="AA72" s="101"/>
      <c r="AB72" s="101"/>
      <c r="AC72" s="101"/>
      <c r="AD72" s="101"/>
      <c r="AE72" s="101"/>
      <c r="AF72" s="101"/>
      <c r="AG72" s="101"/>
      <c r="AH72" s="101"/>
      <c r="AI72" s="101"/>
      <c r="AJ72" s="101"/>
      <c r="AK72" s="101"/>
      <c r="AL72" s="101"/>
      <c r="AM72" s="101"/>
      <c r="AN72" s="101"/>
      <c r="AO72" s="101"/>
      <c r="AP72" s="101"/>
      <c r="AQ72" s="101"/>
      <c r="AR72" s="101"/>
      <c r="AS72" s="19"/>
    </row>
    <row r="73" spans="1:45">
      <c r="A73" s="12"/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01"/>
      <c r="Y73" s="101"/>
      <c r="Z73" s="101"/>
      <c r="AA73" s="101"/>
      <c r="AB73" s="101"/>
      <c r="AC73" s="101"/>
      <c r="AD73" s="101"/>
      <c r="AE73" s="101"/>
      <c r="AF73" s="101"/>
      <c r="AG73" s="101"/>
      <c r="AH73" s="101"/>
      <c r="AI73" s="101"/>
      <c r="AJ73" s="101"/>
      <c r="AK73" s="101"/>
      <c r="AL73" s="101"/>
      <c r="AM73" s="101"/>
      <c r="AN73" s="101"/>
      <c r="AO73" s="101"/>
      <c r="AP73" s="101"/>
      <c r="AQ73" s="101"/>
      <c r="AR73" s="101"/>
      <c r="AS73" s="19"/>
    </row>
    <row r="74" spans="1:45">
      <c r="A74" s="12"/>
      <c r="B74" s="101"/>
      <c r="C74" s="101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N74" s="101"/>
      <c r="AO74" s="101"/>
      <c r="AP74" s="101"/>
      <c r="AQ74" s="101"/>
      <c r="AR74" s="101"/>
      <c r="AS74" s="19"/>
    </row>
    <row r="75" spans="1:45">
      <c r="A75" s="12"/>
      <c r="B75" s="101"/>
      <c r="C75" s="101"/>
      <c r="D75" s="101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L75" s="101"/>
      <c r="AM75" s="101"/>
      <c r="AN75" s="101"/>
      <c r="AO75" s="101"/>
      <c r="AP75" s="101"/>
      <c r="AQ75" s="101"/>
      <c r="AR75" s="101"/>
      <c r="AS75" s="19"/>
    </row>
    <row r="76" spans="1:45">
      <c r="A76" s="12"/>
      <c r="B76" s="101"/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L76" s="101"/>
      <c r="AM76" s="101"/>
      <c r="AN76" s="101"/>
      <c r="AO76" s="101"/>
      <c r="AP76" s="101"/>
      <c r="AQ76" s="101"/>
      <c r="AR76" s="101"/>
      <c r="AS76" s="19"/>
    </row>
    <row r="77" spans="1:45">
      <c r="A77" s="12"/>
      <c r="B77" s="101"/>
      <c r="C77" s="101"/>
      <c r="D77" s="101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L77" s="101"/>
      <c r="AM77" s="101"/>
      <c r="AN77" s="101"/>
      <c r="AO77" s="101"/>
      <c r="AP77" s="101"/>
      <c r="AQ77" s="101"/>
      <c r="AR77" s="101"/>
      <c r="AS77" s="19"/>
    </row>
    <row r="78" spans="1:45">
      <c r="A78" s="12"/>
      <c r="B78" s="101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L78" s="101"/>
      <c r="AM78" s="101"/>
      <c r="AN78" s="101"/>
      <c r="AO78" s="101"/>
      <c r="AP78" s="101"/>
      <c r="AQ78" s="101"/>
      <c r="AR78" s="101"/>
      <c r="AS78" s="19"/>
    </row>
    <row r="79" spans="1:45">
      <c r="A79" s="12"/>
      <c r="B79" s="101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L79" s="101"/>
      <c r="AM79" s="101"/>
      <c r="AN79" s="101"/>
      <c r="AO79" s="101"/>
      <c r="AP79" s="101"/>
      <c r="AQ79" s="101"/>
      <c r="AR79" s="101"/>
      <c r="AS79" s="19"/>
    </row>
    <row r="80" spans="1:45">
      <c r="A80" s="12"/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L80" s="101"/>
      <c r="AM80" s="101"/>
      <c r="AN80" s="101"/>
      <c r="AO80" s="101"/>
      <c r="AP80" s="101"/>
      <c r="AQ80" s="101"/>
      <c r="AR80" s="101"/>
      <c r="AS80" s="19"/>
    </row>
    <row r="81" spans="1:45">
      <c r="A81" s="12"/>
      <c r="B81" s="101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L81" s="101"/>
      <c r="AM81" s="101"/>
      <c r="AN81" s="101"/>
      <c r="AO81" s="101"/>
      <c r="AP81" s="101"/>
      <c r="AQ81" s="101"/>
      <c r="AR81" s="101"/>
      <c r="AS81" s="19"/>
    </row>
    <row r="82" spans="1:45">
      <c r="A82" s="12"/>
      <c r="B82" s="101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  <c r="T82" s="101"/>
      <c r="U82" s="101"/>
      <c r="V82" s="101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101"/>
      <c r="AL82" s="101"/>
      <c r="AM82" s="101"/>
      <c r="AN82" s="101"/>
      <c r="AO82" s="101"/>
      <c r="AP82" s="101"/>
      <c r="AQ82" s="101"/>
      <c r="AR82" s="101"/>
      <c r="AS82" s="19"/>
    </row>
    <row r="83" spans="1:45">
      <c r="A83" s="12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  <c r="T83" s="101"/>
      <c r="U83" s="101"/>
      <c r="V83" s="101"/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101"/>
      <c r="AL83" s="101"/>
      <c r="AM83" s="101"/>
      <c r="AN83" s="101"/>
      <c r="AO83" s="101"/>
      <c r="AP83" s="101"/>
      <c r="AQ83" s="101"/>
      <c r="AR83" s="101"/>
      <c r="AS83" s="19"/>
    </row>
    <row r="84" spans="1:45">
      <c r="A84" s="12"/>
      <c r="B84" s="101"/>
      <c r="C84" s="101"/>
      <c r="D84" s="101"/>
      <c r="E84" s="101"/>
      <c r="F84" s="101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01"/>
      <c r="U84" s="101"/>
      <c r="V84" s="101"/>
      <c r="W84" s="101"/>
      <c r="X84" s="101"/>
      <c r="Y84" s="101"/>
      <c r="Z84" s="101"/>
      <c r="AA84" s="101"/>
      <c r="AB84" s="101"/>
      <c r="AC84" s="101"/>
      <c r="AD84" s="101"/>
      <c r="AE84" s="101"/>
      <c r="AF84" s="101"/>
      <c r="AG84" s="101"/>
      <c r="AH84" s="101"/>
      <c r="AI84" s="101"/>
      <c r="AJ84" s="101"/>
      <c r="AK84" s="101"/>
      <c r="AL84" s="101"/>
      <c r="AM84" s="101"/>
      <c r="AN84" s="101"/>
      <c r="AO84" s="101"/>
      <c r="AP84" s="101"/>
      <c r="AQ84" s="101"/>
      <c r="AR84" s="101"/>
      <c r="AS84" s="19"/>
    </row>
    <row r="85" spans="1:45">
      <c r="A85" s="12"/>
      <c r="B85" s="101"/>
      <c r="C85" s="101"/>
      <c r="D85" s="101"/>
      <c r="E85" s="101"/>
      <c r="F85" s="101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101"/>
      <c r="T85" s="101"/>
      <c r="U85" s="101"/>
      <c r="V85" s="101"/>
      <c r="W85" s="101"/>
      <c r="X85" s="101"/>
      <c r="Y85" s="101"/>
      <c r="Z85" s="101"/>
      <c r="AA85" s="101"/>
      <c r="AB85" s="101"/>
      <c r="AC85" s="101"/>
      <c r="AD85" s="101"/>
      <c r="AE85" s="101"/>
      <c r="AF85" s="101"/>
      <c r="AG85" s="101"/>
      <c r="AH85" s="101"/>
      <c r="AI85" s="101"/>
      <c r="AJ85" s="101"/>
      <c r="AK85" s="101"/>
      <c r="AL85" s="101"/>
      <c r="AM85" s="101"/>
      <c r="AN85" s="101"/>
      <c r="AO85" s="101"/>
      <c r="AP85" s="101"/>
      <c r="AQ85" s="101"/>
      <c r="AR85" s="101"/>
      <c r="AS85" s="19"/>
    </row>
    <row r="86" spans="1:45">
      <c r="A86" s="12"/>
      <c r="B86" s="101"/>
      <c r="C86" s="101"/>
      <c r="D86" s="101"/>
      <c r="E86" s="101"/>
      <c r="F86" s="101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1"/>
      <c r="S86" s="101"/>
      <c r="T86" s="101"/>
      <c r="U86" s="101"/>
      <c r="V86" s="101"/>
      <c r="W86" s="101"/>
      <c r="X86" s="101"/>
      <c r="Y86" s="101"/>
      <c r="Z86" s="101"/>
      <c r="AA86" s="101"/>
      <c r="AB86" s="101"/>
      <c r="AC86" s="101"/>
      <c r="AD86" s="101"/>
      <c r="AE86" s="101"/>
      <c r="AF86" s="101"/>
      <c r="AG86" s="101"/>
      <c r="AH86" s="101"/>
      <c r="AI86" s="101"/>
      <c r="AJ86" s="101"/>
      <c r="AK86" s="101"/>
      <c r="AL86" s="101"/>
      <c r="AM86" s="101"/>
      <c r="AN86" s="101"/>
      <c r="AO86" s="101"/>
      <c r="AP86" s="101"/>
      <c r="AQ86" s="101"/>
      <c r="AR86" s="101"/>
      <c r="AS86" s="19"/>
    </row>
    <row r="87" spans="1:45">
      <c r="A87" s="12"/>
      <c r="B87" s="101"/>
      <c r="C87" s="101"/>
      <c r="D87" s="101"/>
      <c r="E87" s="101"/>
      <c r="F87" s="101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1"/>
      <c r="S87" s="101"/>
      <c r="T87" s="101"/>
      <c r="U87" s="101"/>
      <c r="V87" s="101"/>
      <c r="W87" s="101"/>
      <c r="X87" s="101"/>
      <c r="Y87" s="101"/>
      <c r="Z87" s="101"/>
      <c r="AA87" s="101"/>
      <c r="AB87" s="101"/>
      <c r="AC87" s="101"/>
      <c r="AD87" s="101"/>
      <c r="AE87" s="101"/>
      <c r="AF87" s="101"/>
      <c r="AG87" s="101"/>
      <c r="AH87" s="101"/>
      <c r="AI87" s="101"/>
      <c r="AJ87" s="101"/>
      <c r="AK87" s="101"/>
      <c r="AL87" s="101"/>
      <c r="AM87" s="101"/>
      <c r="AN87" s="101"/>
      <c r="AO87" s="101"/>
      <c r="AP87" s="101"/>
      <c r="AQ87" s="101"/>
      <c r="AR87" s="101"/>
      <c r="AS87" s="19"/>
    </row>
    <row r="88" spans="1:45">
      <c r="A88" s="12"/>
      <c r="B88" s="101"/>
      <c r="C88" s="101"/>
      <c r="D88" s="101"/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1"/>
      <c r="S88" s="101"/>
      <c r="T88" s="101"/>
      <c r="U88" s="101"/>
      <c r="V88" s="101"/>
      <c r="W88" s="101"/>
      <c r="X88" s="101"/>
      <c r="Y88" s="101"/>
      <c r="Z88" s="101"/>
      <c r="AA88" s="101"/>
      <c r="AB88" s="101"/>
      <c r="AC88" s="101"/>
      <c r="AD88" s="101"/>
      <c r="AE88" s="101"/>
      <c r="AF88" s="101"/>
      <c r="AG88" s="101"/>
      <c r="AH88" s="101"/>
      <c r="AI88" s="101"/>
      <c r="AJ88" s="101"/>
      <c r="AK88" s="101"/>
      <c r="AL88" s="101"/>
      <c r="AM88" s="101"/>
      <c r="AN88" s="101"/>
      <c r="AO88" s="101"/>
      <c r="AP88" s="101"/>
      <c r="AQ88" s="101"/>
      <c r="AR88" s="101"/>
      <c r="AS88" s="19"/>
    </row>
    <row r="89" spans="1:45">
      <c r="A89" s="12"/>
      <c r="B89" s="101"/>
      <c r="C89" s="101"/>
      <c r="D89" s="101"/>
      <c r="E89" s="101"/>
      <c r="F89" s="101"/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101"/>
      <c r="R89" s="101"/>
      <c r="S89" s="101"/>
      <c r="T89" s="101"/>
      <c r="U89" s="101"/>
      <c r="V89" s="101"/>
      <c r="W89" s="101"/>
      <c r="X89" s="101"/>
      <c r="Y89" s="101"/>
      <c r="Z89" s="101"/>
      <c r="AA89" s="101"/>
      <c r="AB89" s="101"/>
      <c r="AC89" s="101"/>
      <c r="AD89" s="101"/>
      <c r="AE89" s="101"/>
      <c r="AF89" s="101"/>
      <c r="AG89" s="101"/>
      <c r="AH89" s="101"/>
      <c r="AI89" s="101"/>
      <c r="AJ89" s="101"/>
      <c r="AK89" s="101"/>
      <c r="AL89" s="101"/>
      <c r="AM89" s="101"/>
      <c r="AN89" s="101"/>
      <c r="AO89" s="101"/>
      <c r="AP89" s="101"/>
      <c r="AQ89" s="101"/>
      <c r="AR89" s="101"/>
      <c r="AS89" s="19"/>
    </row>
    <row r="90" spans="1:45">
      <c r="A90" s="12"/>
      <c r="B90" s="101"/>
      <c r="C90" s="101"/>
      <c r="D90" s="101"/>
      <c r="E90" s="101"/>
      <c r="F90" s="101"/>
      <c r="G90" s="101"/>
      <c r="H90" s="101"/>
      <c r="I90" s="101"/>
      <c r="J90" s="101"/>
      <c r="K90" s="101"/>
      <c r="L90" s="101"/>
      <c r="M90" s="101"/>
      <c r="N90" s="101"/>
      <c r="O90" s="101"/>
      <c r="P90" s="101"/>
      <c r="Q90" s="101"/>
      <c r="R90" s="101"/>
      <c r="S90" s="101"/>
      <c r="T90" s="101"/>
      <c r="U90" s="101"/>
      <c r="V90" s="101"/>
      <c r="W90" s="101"/>
      <c r="X90" s="101"/>
      <c r="Y90" s="101"/>
      <c r="Z90" s="101"/>
      <c r="AA90" s="101"/>
      <c r="AB90" s="101"/>
      <c r="AC90" s="101"/>
      <c r="AD90" s="101"/>
      <c r="AE90" s="101"/>
      <c r="AF90" s="101"/>
      <c r="AG90" s="101"/>
      <c r="AH90" s="101"/>
      <c r="AI90" s="101"/>
      <c r="AJ90" s="101"/>
      <c r="AK90" s="101"/>
      <c r="AL90" s="101"/>
      <c r="AM90" s="101"/>
      <c r="AN90" s="101"/>
      <c r="AO90" s="101"/>
      <c r="AP90" s="101"/>
      <c r="AQ90" s="101"/>
      <c r="AR90" s="101"/>
      <c r="AS90" s="19"/>
    </row>
    <row r="91" spans="1:45">
      <c r="A91" s="12"/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  <c r="AA91" s="101"/>
      <c r="AB91" s="101"/>
      <c r="AC91" s="101"/>
      <c r="AD91" s="101"/>
      <c r="AE91" s="101"/>
      <c r="AF91" s="101"/>
      <c r="AG91" s="101"/>
      <c r="AH91" s="101"/>
      <c r="AI91" s="101"/>
      <c r="AJ91" s="101"/>
      <c r="AK91" s="101"/>
      <c r="AL91" s="101"/>
      <c r="AM91" s="101"/>
      <c r="AN91" s="101"/>
      <c r="AO91" s="101"/>
      <c r="AP91" s="101"/>
      <c r="AQ91" s="101"/>
      <c r="AR91" s="101"/>
      <c r="AS91" s="19"/>
    </row>
    <row r="92" spans="1:45">
      <c r="A92" s="12"/>
      <c r="B92" s="101"/>
      <c r="C92" s="101"/>
      <c r="D92" s="101"/>
      <c r="E92" s="101"/>
      <c r="F92" s="101"/>
      <c r="G92" s="101"/>
      <c r="H92" s="101"/>
      <c r="I92" s="101"/>
      <c r="J92" s="101"/>
      <c r="K92" s="101"/>
      <c r="L92" s="101"/>
      <c r="M92" s="101"/>
      <c r="N92" s="101"/>
      <c r="O92" s="101"/>
      <c r="P92" s="101"/>
      <c r="Q92" s="101"/>
      <c r="R92" s="101"/>
      <c r="S92" s="101"/>
      <c r="T92" s="101"/>
      <c r="U92" s="101"/>
      <c r="V92" s="101"/>
      <c r="W92" s="101"/>
      <c r="X92" s="101"/>
      <c r="Y92" s="101"/>
      <c r="Z92" s="101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101"/>
      <c r="AQ92" s="101"/>
      <c r="AR92" s="101"/>
      <c r="AS92" s="19"/>
    </row>
    <row r="93" spans="1:45">
      <c r="A93" s="12"/>
      <c r="B93" s="101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01"/>
      <c r="N93" s="101"/>
      <c r="O93" s="101"/>
      <c r="P93" s="101"/>
      <c r="Q93" s="101"/>
      <c r="R93" s="101"/>
      <c r="S93" s="101"/>
      <c r="T93" s="101"/>
      <c r="U93" s="101"/>
      <c r="V93" s="101"/>
      <c r="W93" s="101"/>
      <c r="X93" s="101"/>
      <c r="Y93" s="101"/>
      <c r="Z93" s="101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101"/>
      <c r="AQ93" s="101"/>
      <c r="AR93" s="101"/>
      <c r="AS93" s="19"/>
    </row>
    <row r="94" spans="1:45">
      <c r="A94" s="12"/>
      <c r="B94" s="101"/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01"/>
      <c r="U94" s="101"/>
      <c r="V94" s="101"/>
      <c r="W94" s="101"/>
      <c r="X94" s="101"/>
      <c r="Y94" s="101"/>
      <c r="Z94" s="101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101"/>
      <c r="AQ94" s="101"/>
      <c r="AR94" s="101"/>
      <c r="AS94" s="19"/>
    </row>
    <row r="95" spans="1:45">
      <c r="A95" s="12"/>
      <c r="B95" s="101"/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01"/>
      <c r="N95" s="101"/>
      <c r="O95" s="101"/>
      <c r="P95" s="101"/>
      <c r="Q95" s="101"/>
      <c r="R95" s="101"/>
      <c r="S95" s="101"/>
      <c r="T95" s="101"/>
      <c r="U95" s="101"/>
      <c r="V95" s="101"/>
      <c r="W95" s="101"/>
      <c r="X95" s="101"/>
      <c r="Y95" s="101"/>
      <c r="Z95" s="101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101"/>
      <c r="AQ95" s="101"/>
      <c r="AR95" s="101"/>
      <c r="AS95" s="19"/>
    </row>
    <row r="96" spans="1:45">
      <c r="A96" s="12"/>
      <c r="B96" s="101"/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1"/>
      <c r="Q96" s="101"/>
      <c r="R96" s="101"/>
      <c r="S96" s="101"/>
      <c r="T96" s="101"/>
      <c r="U96" s="101"/>
      <c r="V96" s="101"/>
      <c r="W96" s="101"/>
      <c r="X96" s="101"/>
      <c r="Y96" s="101"/>
      <c r="Z96" s="101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101"/>
      <c r="AQ96" s="101"/>
      <c r="AR96" s="101"/>
      <c r="AS96" s="19"/>
    </row>
    <row r="97" spans="1:45">
      <c r="A97" s="12"/>
      <c r="B97" s="101"/>
      <c r="C97" s="101"/>
      <c r="D97" s="101"/>
      <c r="E97" s="101"/>
      <c r="F97" s="101"/>
      <c r="G97" s="101"/>
      <c r="H97" s="101"/>
      <c r="I97" s="101"/>
      <c r="J97" s="101"/>
      <c r="K97" s="101"/>
      <c r="L97" s="101"/>
      <c r="M97" s="101"/>
      <c r="N97" s="101"/>
      <c r="O97" s="101"/>
      <c r="P97" s="101"/>
      <c r="Q97" s="101"/>
      <c r="R97" s="101"/>
      <c r="S97" s="101"/>
      <c r="T97" s="101"/>
      <c r="U97" s="101"/>
      <c r="V97" s="101"/>
      <c r="W97" s="101"/>
      <c r="X97" s="101"/>
      <c r="Y97" s="101"/>
      <c r="Z97" s="101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101"/>
      <c r="AQ97" s="101"/>
      <c r="AR97" s="101"/>
      <c r="AS97" s="19"/>
    </row>
    <row r="98" spans="1:45">
      <c r="A98" s="12"/>
      <c r="B98" s="101"/>
      <c r="C98" s="101"/>
      <c r="D98" s="101"/>
      <c r="E98" s="101"/>
      <c r="F98" s="101"/>
      <c r="G98" s="101"/>
      <c r="H98" s="101"/>
      <c r="I98" s="101"/>
      <c r="J98" s="101"/>
      <c r="K98" s="101"/>
      <c r="L98" s="101"/>
      <c r="M98" s="101"/>
      <c r="N98" s="101"/>
      <c r="O98" s="101"/>
      <c r="P98" s="101"/>
      <c r="Q98" s="101"/>
      <c r="R98" s="101"/>
      <c r="S98" s="101"/>
      <c r="T98" s="101"/>
      <c r="U98" s="101"/>
      <c r="V98" s="101"/>
      <c r="W98" s="101"/>
      <c r="X98" s="101"/>
      <c r="Y98" s="101"/>
      <c r="Z98" s="101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101"/>
      <c r="AQ98" s="101"/>
      <c r="AR98" s="101"/>
      <c r="AS98" s="19"/>
    </row>
    <row r="99" spans="1:45">
      <c r="A99" s="12"/>
      <c r="B99" s="101"/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01"/>
      <c r="R99" s="101"/>
      <c r="S99" s="101"/>
      <c r="T99" s="101"/>
      <c r="U99" s="101"/>
      <c r="V99" s="101"/>
      <c r="W99" s="101"/>
      <c r="X99" s="101"/>
      <c r="Y99" s="101"/>
      <c r="Z99" s="101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101"/>
      <c r="AQ99" s="101"/>
      <c r="AR99" s="101"/>
      <c r="AS99" s="19"/>
    </row>
    <row r="100" spans="1:45">
      <c r="A100" s="12"/>
      <c r="B100" s="101"/>
      <c r="C100" s="101"/>
      <c r="D100" s="101"/>
      <c r="E100" s="101"/>
      <c r="F100" s="101"/>
      <c r="G100" s="101"/>
      <c r="H100" s="101"/>
      <c r="I100" s="101"/>
      <c r="J100" s="101"/>
      <c r="K100" s="101"/>
      <c r="L100" s="101"/>
      <c r="M100" s="101"/>
      <c r="N100" s="101"/>
      <c r="O100" s="101"/>
      <c r="P100" s="101"/>
      <c r="Q100" s="101"/>
      <c r="R100" s="101"/>
      <c r="S100" s="101"/>
      <c r="T100" s="101"/>
      <c r="U100" s="101"/>
      <c r="V100" s="101"/>
      <c r="W100" s="101"/>
      <c r="X100" s="101"/>
      <c r="Y100" s="101"/>
      <c r="Z100" s="101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101"/>
      <c r="AQ100" s="101"/>
      <c r="AR100" s="101"/>
      <c r="AS100" s="19"/>
    </row>
    <row r="101" spans="1:45">
      <c r="A101" s="12"/>
      <c r="B101" s="101"/>
      <c r="C101" s="101"/>
      <c r="D101" s="101"/>
      <c r="E101" s="101"/>
      <c r="F101" s="101"/>
      <c r="G101" s="101"/>
      <c r="H101" s="101"/>
      <c r="I101" s="101"/>
      <c r="J101" s="101"/>
      <c r="K101" s="101"/>
      <c r="L101" s="101"/>
      <c r="M101" s="101"/>
      <c r="N101" s="101"/>
      <c r="O101" s="101"/>
      <c r="P101" s="101"/>
      <c r="Q101" s="101"/>
      <c r="R101" s="101"/>
      <c r="S101" s="101"/>
      <c r="T101" s="101"/>
      <c r="U101" s="101"/>
      <c r="V101" s="101"/>
      <c r="W101" s="101"/>
      <c r="X101" s="101"/>
      <c r="Y101" s="101"/>
      <c r="Z101" s="101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101"/>
      <c r="AQ101" s="101"/>
      <c r="AR101" s="101"/>
      <c r="AS101" s="19"/>
    </row>
    <row r="102" spans="1:45">
      <c r="A102" s="12"/>
      <c r="B102" s="101"/>
      <c r="C102" s="101"/>
      <c r="D102" s="101"/>
      <c r="E102" s="101"/>
      <c r="F102" s="101"/>
      <c r="G102" s="101"/>
      <c r="H102" s="101"/>
      <c r="I102" s="101"/>
      <c r="J102" s="101"/>
      <c r="K102" s="101"/>
      <c r="L102" s="101"/>
      <c r="M102" s="101"/>
      <c r="N102" s="101"/>
      <c r="O102" s="101"/>
      <c r="P102" s="101"/>
      <c r="Q102" s="101"/>
      <c r="R102" s="101"/>
      <c r="S102" s="101"/>
      <c r="T102" s="101"/>
      <c r="U102" s="101"/>
      <c r="V102" s="101"/>
      <c r="W102" s="101"/>
      <c r="X102" s="101"/>
      <c r="Y102" s="101"/>
      <c r="Z102" s="101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101"/>
      <c r="AQ102" s="101"/>
      <c r="AR102" s="101"/>
      <c r="AS102" s="19"/>
    </row>
    <row r="103" spans="1:45">
      <c r="A103" s="12"/>
      <c r="B103" s="101"/>
      <c r="C103" s="101"/>
      <c r="D103" s="101"/>
      <c r="E103" s="101"/>
      <c r="F103" s="101"/>
      <c r="G103" s="101"/>
      <c r="H103" s="101"/>
      <c r="I103" s="101"/>
      <c r="J103" s="101"/>
      <c r="K103" s="101"/>
      <c r="L103" s="101"/>
      <c r="M103" s="101"/>
      <c r="N103" s="101"/>
      <c r="O103" s="101"/>
      <c r="P103" s="101"/>
      <c r="Q103" s="101"/>
      <c r="R103" s="101"/>
      <c r="S103" s="101"/>
      <c r="T103" s="101"/>
      <c r="U103" s="101"/>
      <c r="V103" s="101"/>
      <c r="W103" s="101"/>
      <c r="X103" s="101"/>
      <c r="Y103" s="101"/>
      <c r="Z103" s="101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101"/>
      <c r="AQ103" s="101"/>
      <c r="AR103" s="101"/>
      <c r="AS103" s="19"/>
    </row>
    <row r="104" spans="1:45">
      <c r="A104" s="12"/>
      <c r="B104" s="101"/>
      <c r="C104" s="101"/>
      <c r="D104" s="101"/>
      <c r="E104" s="101"/>
      <c r="F104" s="101"/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101"/>
      <c r="R104" s="101"/>
      <c r="S104" s="101"/>
      <c r="T104" s="101"/>
      <c r="U104" s="101"/>
      <c r="V104" s="101"/>
      <c r="W104" s="101"/>
      <c r="X104" s="101"/>
      <c r="Y104" s="101"/>
      <c r="Z104" s="101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101"/>
      <c r="AQ104" s="101"/>
      <c r="AR104" s="101"/>
      <c r="AS104" s="19"/>
    </row>
    <row r="105" spans="1:45">
      <c r="A105" s="12"/>
      <c r="B105" s="101"/>
      <c r="C105" s="101"/>
      <c r="D105" s="101"/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  <c r="O105" s="101"/>
      <c r="P105" s="101"/>
      <c r="Q105" s="101"/>
      <c r="R105" s="101"/>
      <c r="S105" s="101"/>
      <c r="T105" s="101"/>
      <c r="U105" s="101"/>
      <c r="V105" s="101"/>
      <c r="W105" s="101"/>
      <c r="X105" s="101"/>
      <c r="Y105" s="101"/>
      <c r="Z105" s="101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101"/>
      <c r="AQ105" s="101"/>
      <c r="AR105" s="101"/>
      <c r="AS105" s="19"/>
    </row>
    <row r="106" spans="1:45">
      <c r="A106" s="12"/>
      <c r="B106" s="101"/>
      <c r="C106" s="101"/>
      <c r="D106" s="101"/>
      <c r="E106" s="101"/>
      <c r="F106" s="101"/>
      <c r="G106" s="101"/>
      <c r="H106" s="101"/>
      <c r="I106" s="101"/>
      <c r="J106" s="101"/>
      <c r="K106" s="101"/>
      <c r="L106" s="101"/>
      <c r="M106" s="101"/>
      <c r="N106" s="101"/>
      <c r="O106" s="101"/>
      <c r="P106" s="101"/>
      <c r="Q106" s="101"/>
      <c r="R106" s="101"/>
      <c r="S106" s="101"/>
      <c r="T106" s="101"/>
      <c r="U106" s="101"/>
      <c r="V106" s="101"/>
      <c r="W106" s="101"/>
      <c r="X106" s="101"/>
      <c r="Y106" s="101"/>
      <c r="Z106" s="101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101"/>
      <c r="AQ106" s="101"/>
      <c r="AR106" s="101"/>
      <c r="AS106" s="19"/>
    </row>
    <row r="107" spans="1:45">
      <c r="A107" s="12"/>
      <c r="B107" s="101"/>
      <c r="C107" s="101"/>
      <c r="D107" s="101"/>
      <c r="E107" s="101"/>
      <c r="F107" s="101"/>
      <c r="G107" s="101"/>
      <c r="H107" s="101"/>
      <c r="I107" s="101"/>
      <c r="J107" s="101"/>
      <c r="K107" s="101"/>
      <c r="L107" s="101"/>
      <c r="M107" s="101"/>
      <c r="N107" s="101"/>
      <c r="O107" s="101"/>
      <c r="P107" s="101"/>
      <c r="Q107" s="101"/>
      <c r="R107" s="101"/>
      <c r="S107" s="101"/>
      <c r="T107" s="101"/>
      <c r="U107" s="101"/>
      <c r="V107" s="101"/>
      <c r="W107" s="101"/>
      <c r="X107" s="101"/>
      <c r="Y107" s="101"/>
      <c r="Z107" s="101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101"/>
      <c r="AQ107" s="101"/>
      <c r="AR107" s="101"/>
      <c r="AS107" s="19"/>
    </row>
    <row r="108" spans="1:45">
      <c r="A108" s="12"/>
      <c r="B108" s="101"/>
      <c r="C108" s="101"/>
      <c r="D108" s="101"/>
      <c r="E108" s="101"/>
      <c r="F108" s="101"/>
      <c r="G108" s="101"/>
      <c r="H108" s="101"/>
      <c r="I108" s="101"/>
      <c r="J108" s="101"/>
      <c r="K108" s="101"/>
      <c r="L108" s="101"/>
      <c r="M108" s="101"/>
      <c r="N108" s="101"/>
      <c r="O108" s="101"/>
      <c r="P108" s="101"/>
      <c r="Q108" s="101"/>
      <c r="R108" s="101"/>
      <c r="S108" s="101"/>
      <c r="T108" s="101"/>
      <c r="U108" s="101"/>
      <c r="V108" s="101"/>
      <c r="W108" s="101"/>
      <c r="X108" s="101"/>
      <c r="Y108" s="101"/>
      <c r="Z108" s="101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101"/>
      <c r="AQ108" s="101"/>
      <c r="AR108" s="101"/>
      <c r="AS108" s="19"/>
    </row>
    <row r="109" spans="1:45">
      <c r="A109" s="12"/>
      <c r="B109" s="101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01"/>
      <c r="U109" s="101"/>
      <c r="V109" s="101"/>
      <c r="W109" s="101"/>
      <c r="X109" s="101"/>
      <c r="Y109" s="101"/>
      <c r="Z109" s="101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101"/>
      <c r="AQ109" s="101"/>
      <c r="AR109" s="101"/>
      <c r="AS109" s="19"/>
    </row>
    <row r="110" spans="1:45">
      <c r="A110" s="12"/>
      <c r="B110" s="101"/>
      <c r="C110" s="101"/>
      <c r="D110" s="101"/>
      <c r="E110" s="101"/>
      <c r="F110" s="101"/>
      <c r="G110" s="101"/>
      <c r="H110" s="101"/>
      <c r="I110" s="101"/>
      <c r="J110" s="101"/>
      <c r="K110" s="101"/>
      <c r="L110" s="101"/>
      <c r="M110" s="101"/>
      <c r="N110" s="101"/>
      <c r="O110" s="101"/>
      <c r="P110" s="101"/>
      <c r="Q110" s="101"/>
      <c r="R110" s="101"/>
      <c r="S110" s="101"/>
      <c r="T110" s="101"/>
      <c r="U110" s="101"/>
      <c r="V110" s="101"/>
      <c r="W110" s="101"/>
      <c r="X110" s="101"/>
      <c r="Y110" s="101"/>
      <c r="Z110" s="101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101"/>
      <c r="AQ110" s="101"/>
      <c r="AR110" s="101"/>
      <c r="AS110" s="19"/>
    </row>
    <row r="111" spans="1:45">
      <c r="A111" s="12"/>
      <c r="B111" s="101"/>
      <c r="C111" s="101"/>
      <c r="D111" s="101"/>
      <c r="E111" s="101"/>
      <c r="F111" s="101"/>
      <c r="G111" s="101"/>
      <c r="H111" s="101"/>
      <c r="I111" s="101"/>
      <c r="J111" s="101"/>
      <c r="K111" s="101"/>
      <c r="L111" s="101"/>
      <c r="M111" s="101"/>
      <c r="N111" s="101"/>
      <c r="O111" s="101"/>
      <c r="P111" s="101"/>
      <c r="Q111" s="101"/>
      <c r="R111" s="101"/>
      <c r="S111" s="101"/>
      <c r="T111" s="101"/>
      <c r="U111" s="101"/>
      <c r="V111" s="101"/>
      <c r="W111" s="101"/>
      <c r="X111" s="101"/>
      <c r="Y111" s="101"/>
      <c r="Z111" s="101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101"/>
      <c r="AQ111" s="101"/>
      <c r="AR111" s="101"/>
      <c r="AS111" s="19"/>
    </row>
    <row r="112" spans="1:45">
      <c r="A112" s="12"/>
      <c r="B112" s="101"/>
      <c r="C112" s="101"/>
      <c r="D112" s="101"/>
      <c r="E112" s="101"/>
      <c r="F112" s="101"/>
      <c r="G112" s="101"/>
      <c r="H112" s="101"/>
      <c r="I112" s="101"/>
      <c r="J112" s="101"/>
      <c r="K112" s="101"/>
      <c r="L112" s="101"/>
      <c r="M112" s="101"/>
      <c r="N112" s="101"/>
      <c r="O112" s="101"/>
      <c r="P112" s="101"/>
      <c r="Q112" s="101"/>
      <c r="R112" s="101"/>
      <c r="S112" s="101"/>
      <c r="T112" s="101"/>
      <c r="U112" s="101"/>
      <c r="V112" s="101"/>
      <c r="W112" s="101"/>
      <c r="X112" s="101"/>
      <c r="Y112" s="101"/>
      <c r="Z112" s="101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101"/>
      <c r="AQ112" s="101"/>
      <c r="AR112" s="101"/>
      <c r="AS112" s="19"/>
    </row>
    <row r="113" spans="1:45">
      <c r="A113" s="12"/>
      <c r="B113" s="101"/>
      <c r="C113" s="101"/>
      <c r="D113" s="101"/>
      <c r="E113" s="101"/>
      <c r="F113" s="101"/>
      <c r="G113" s="101"/>
      <c r="H113" s="101"/>
      <c r="I113" s="101"/>
      <c r="J113" s="101"/>
      <c r="K113" s="101"/>
      <c r="L113" s="101"/>
      <c r="M113" s="101"/>
      <c r="N113" s="101"/>
      <c r="O113" s="101"/>
      <c r="P113" s="101"/>
      <c r="Q113" s="101"/>
      <c r="R113" s="101"/>
      <c r="S113" s="101"/>
      <c r="T113" s="101"/>
      <c r="U113" s="101"/>
      <c r="V113" s="101"/>
      <c r="W113" s="101"/>
      <c r="X113" s="101"/>
      <c r="Y113" s="101"/>
      <c r="Z113" s="101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101"/>
      <c r="AQ113" s="101"/>
      <c r="AR113" s="101"/>
      <c r="AS113" s="19"/>
    </row>
    <row r="114" spans="1:45">
      <c r="A114" s="12"/>
      <c r="B114" s="101"/>
      <c r="C114" s="101"/>
      <c r="D114" s="101"/>
      <c r="E114" s="101"/>
      <c r="F114" s="101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101"/>
      <c r="AQ114" s="101"/>
      <c r="AR114" s="101"/>
      <c r="AS114" s="19"/>
    </row>
    <row r="115" spans="1:45">
      <c r="A115" s="12"/>
      <c r="B115" s="101"/>
      <c r="C115" s="101"/>
      <c r="D115" s="101"/>
      <c r="E115" s="101"/>
      <c r="F115" s="101"/>
      <c r="G115" s="101"/>
      <c r="H115" s="101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101"/>
      <c r="AQ115" s="101"/>
      <c r="AR115" s="101"/>
      <c r="AS115" s="19"/>
    </row>
    <row r="116" spans="1:45">
      <c r="A116" s="12"/>
      <c r="B116" s="101"/>
      <c r="C116" s="101"/>
      <c r="D116" s="101"/>
      <c r="E116" s="101"/>
      <c r="F116" s="101"/>
      <c r="G116" s="101"/>
      <c r="H116" s="101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101"/>
      <c r="AQ116" s="101"/>
      <c r="AR116" s="101"/>
      <c r="AS116" s="19"/>
    </row>
    <row r="117" spans="1:45">
      <c r="A117" s="12"/>
      <c r="B117" s="101"/>
      <c r="C117" s="101"/>
      <c r="D117" s="101"/>
      <c r="E117" s="101"/>
      <c r="F117" s="101"/>
      <c r="G117" s="101"/>
      <c r="H117" s="101"/>
      <c r="I117" s="101"/>
      <c r="J117" s="101"/>
      <c r="K117" s="101"/>
      <c r="L117" s="101"/>
      <c r="M117" s="101"/>
      <c r="N117" s="101"/>
      <c r="O117" s="101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101"/>
      <c r="AQ117" s="101"/>
      <c r="AR117" s="101"/>
      <c r="AS117" s="19"/>
    </row>
    <row r="118" spans="1:45">
      <c r="A118" s="12"/>
      <c r="B118" s="101"/>
      <c r="C118" s="101"/>
      <c r="D118" s="101"/>
      <c r="E118" s="101"/>
      <c r="F118" s="101"/>
      <c r="G118" s="101"/>
      <c r="H118" s="101"/>
      <c r="I118" s="101"/>
      <c r="J118" s="101"/>
      <c r="K118" s="101"/>
      <c r="L118" s="101"/>
      <c r="M118" s="101"/>
      <c r="N118" s="101"/>
      <c r="O118" s="101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101"/>
      <c r="AQ118" s="101"/>
      <c r="AR118" s="101"/>
      <c r="AS118" s="19"/>
    </row>
    <row r="119" spans="1:45">
      <c r="A119" s="12"/>
      <c r="B119" s="101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101"/>
      <c r="AQ119" s="101"/>
      <c r="AR119" s="101"/>
      <c r="AS119" s="19"/>
    </row>
    <row r="120" spans="1:45">
      <c r="A120" s="12"/>
      <c r="B120" s="101"/>
      <c r="C120" s="101"/>
      <c r="D120" s="101"/>
      <c r="E120" s="101"/>
      <c r="F120" s="101"/>
      <c r="G120" s="101"/>
      <c r="H120" s="101"/>
      <c r="I120" s="101"/>
      <c r="J120" s="101"/>
      <c r="K120" s="101"/>
      <c r="L120" s="101"/>
      <c r="M120" s="101"/>
      <c r="N120" s="101"/>
      <c r="O120" s="101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101"/>
      <c r="AQ120" s="101"/>
      <c r="AR120" s="101"/>
      <c r="AS120" s="19"/>
    </row>
    <row r="121" spans="1:45">
      <c r="A121" s="12"/>
      <c r="B121" s="101"/>
      <c r="C121" s="101"/>
      <c r="D121" s="101"/>
      <c r="E121" s="101"/>
      <c r="F121" s="101"/>
      <c r="G121" s="101"/>
      <c r="H121" s="101"/>
      <c r="I121" s="101"/>
      <c r="J121" s="101"/>
      <c r="K121" s="101"/>
      <c r="L121" s="101"/>
      <c r="M121" s="101"/>
      <c r="N121" s="101"/>
      <c r="O121" s="101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101"/>
      <c r="AQ121" s="101"/>
      <c r="AR121" s="101"/>
      <c r="AS121" s="19"/>
    </row>
    <row r="122" spans="1:45">
      <c r="A122" s="12"/>
      <c r="B122" s="101"/>
      <c r="C122" s="101"/>
      <c r="D122" s="101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  <c r="O122" s="101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101"/>
      <c r="AQ122" s="101"/>
      <c r="AR122" s="101"/>
      <c r="AS122" s="19"/>
    </row>
    <row r="123" spans="1:45">
      <c r="A123" s="12"/>
      <c r="B123" s="101"/>
      <c r="C123" s="101"/>
      <c r="D123" s="101"/>
      <c r="E123" s="101"/>
      <c r="F123" s="101"/>
      <c r="G123" s="101"/>
      <c r="H123" s="101"/>
      <c r="I123" s="101"/>
      <c r="J123" s="101"/>
      <c r="K123" s="101"/>
      <c r="L123" s="101"/>
      <c r="M123" s="101"/>
      <c r="N123" s="101"/>
      <c r="O123" s="101"/>
      <c r="P123" s="101"/>
      <c r="Q123" s="101"/>
      <c r="R123" s="101"/>
      <c r="S123" s="101"/>
      <c r="T123" s="101"/>
      <c r="U123" s="101"/>
      <c r="V123" s="101"/>
      <c r="W123" s="101"/>
      <c r="X123" s="101"/>
      <c r="Y123" s="101"/>
      <c r="Z123" s="101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101"/>
      <c r="AQ123" s="101"/>
      <c r="AR123" s="101"/>
      <c r="AS123" s="19"/>
    </row>
    <row r="124" spans="1:45">
      <c r="A124" s="12"/>
      <c r="B124" s="101"/>
      <c r="C124" s="101"/>
      <c r="D124" s="101"/>
      <c r="E124" s="101"/>
      <c r="F124" s="101"/>
      <c r="G124" s="101"/>
      <c r="H124" s="101"/>
      <c r="I124" s="101"/>
      <c r="J124" s="101"/>
      <c r="K124" s="101"/>
      <c r="L124" s="101"/>
      <c r="M124" s="101"/>
      <c r="N124" s="101"/>
      <c r="O124" s="101"/>
      <c r="P124" s="101"/>
      <c r="Q124" s="101"/>
      <c r="R124" s="101"/>
      <c r="S124" s="101"/>
      <c r="T124" s="101"/>
      <c r="U124" s="101"/>
      <c r="V124" s="101"/>
      <c r="W124" s="101"/>
      <c r="X124" s="101"/>
      <c r="Y124" s="101"/>
      <c r="Z124" s="101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101"/>
      <c r="AQ124" s="101"/>
      <c r="AR124" s="101"/>
      <c r="AS124" s="19"/>
    </row>
    <row r="125" spans="1:45">
      <c r="A125" s="12"/>
      <c r="B125" s="101"/>
      <c r="C125" s="101"/>
      <c r="D125" s="101"/>
      <c r="E125" s="101"/>
      <c r="F125" s="101"/>
      <c r="G125" s="101"/>
      <c r="H125" s="101"/>
      <c r="I125" s="101"/>
      <c r="J125" s="101"/>
      <c r="K125" s="101"/>
      <c r="L125" s="101"/>
      <c r="M125" s="101"/>
      <c r="N125" s="101"/>
      <c r="O125" s="101"/>
      <c r="P125" s="101"/>
      <c r="Q125" s="101"/>
      <c r="R125" s="101"/>
      <c r="S125" s="101"/>
      <c r="T125" s="101"/>
      <c r="U125" s="101"/>
      <c r="V125" s="101"/>
      <c r="W125" s="101"/>
      <c r="X125" s="101"/>
      <c r="Y125" s="101"/>
      <c r="Z125" s="101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101"/>
      <c r="AQ125" s="101"/>
      <c r="AR125" s="101"/>
      <c r="AS125" s="19"/>
    </row>
    <row r="126" spans="1:45">
      <c r="A126" s="12"/>
      <c r="B126" s="101"/>
      <c r="C126" s="101"/>
      <c r="D126" s="101"/>
      <c r="E126" s="101"/>
      <c r="F126" s="101"/>
      <c r="G126" s="101"/>
      <c r="H126" s="101"/>
      <c r="I126" s="101"/>
      <c r="J126" s="101"/>
      <c r="K126" s="101"/>
      <c r="L126" s="101"/>
      <c r="M126" s="101"/>
      <c r="N126" s="101"/>
      <c r="O126" s="101"/>
      <c r="P126" s="101"/>
      <c r="Q126" s="101"/>
      <c r="R126" s="101"/>
      <c r="S126" s="101"/>
      <c r="T126" s="101"/>
      <c r="U126" s="101"/>
      <c r="V126" s="101"/>
      <c r="W126" s="101"/>
      <c r="X126" s="101"/>
      <c r="Y126" s="101"/>
      <c r="Z126" s="101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101"/>
      <c r="AQ126" s="101"/>
      <c r="AR126" s="101"/>
      <c r="AS126" s="19"/>
    </row>
    <row r="127" spans="1:45">
      <c r="A127" s="12"/>
      <c r="B127" s="101"/>
      <c r="C127" s="101"/>
      <c r="D127" s="101"/>
      <c r="E127" s="101"/>
      <c r="F127" s="101"/>
      <c r="G127" s="101"/>
      <c r="H127" s="101"/>
      <c r="I127" s="101"/>
      <c r="J127" s="101"/>
      <c r="K127" s="101"/>
      <c r="L127" s="101"/>
      <c r="M127" s="101"/>
      <c r="N127" s="101"/>
      <c r="O127" s="101"/>
      <c r="P127" s="101"/>
      <c r="Q127" s="101"/>
      <c r="R127" s="101"/>
      <c r="S127" s="101"/>
      <c r="T127" s="101"/>
      <c r="U127" s="101"/>
      <c r="V127" s="101"/>
      <c r="W127" s="101"/>
      <c r="X127" s="101"/>
      <c r="Y127" s="101"/>
      <c r="Z127" s="101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101"/>
      <c r="AQ127" s="101"/>
      <c r="AR127" s="101"/>
      <c r="AS127" s="19"/>
    </row>
    <row r="128" spans="1:45">
      <c r="A128" s="12"/>
      <c r="B128" s="101"/>
      <c r="C128" s="101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  <c r="O128" s="101"/>
      <c r="P128" s="101"/>
      <c r="Q128" s="101"/>
      <c r="R128" s="101"/>
      <c r="S128" s="101"/>
      <c r="T128" s="101"/>
      <c r="U128" s="101"/>
      <c r="V128" s="101"/>
      <c r="W128" s="101"/>
      <c r="X128" s="101"/>
      <c r="Y128" s="101"/>
      <c r="Z128" s="101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101"/>
      <c r="AQ128" s="101"/>
      <c r="AR128" s="101"/>
      <c r="AS128" s="19"/>
    </row>
    <row r="129" spans="1:45">
      <c r="A129" s="12"/>
      <c r="B129" s="101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1"/>
      <c r="P129" s="101"/>
      <c r="Q129" s="101"/>
      <c r="R129" s="101"/>
      <c r="S129" s="101"/>
      <c r="T129" s="101"/>
      <c r="U129" s="101"/>
      <c r="V129" s="101"/>
      <c r="W129" s="101"/>
      <c r="X129" s="101"/>
      <c r="Y129" s="101"/>
      <c r="Z129" s="101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101"/>
      <c r="AQ129" s="101"/>
      <c r="AR129" s="101"/>
      <c r="AS129" s="19"/>
    </row>
    <row r="130" spans="1:45">
      <c r="A130" s="12"/>
      <c r="B130" s="101"/>
      <c r="C130" s="101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  <c r="O130" s="101"/>
      <c r="P130" s="101"/>
      <c r="Q130" s="101"/>
      <c r="R130" s="101"/>
      <c r="S130" s="101"/>
      <c r="T130" s="101"/>
      <c r="U130" s="101"/>
      <c r="V130" s="101"/>
      <c r="W130" s="101"/>
      <c r="X130" s="101"/>
      <c r="Y130" s="101"/>
      <c r="Z130" s="101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101"/>
      <c r="AQ130" s="101"/>
      <c r="AR130" s="101"/>
      <c r="AS130" s="19"/>
    </row>
    <row r="131" spans="1:45">
      <c r="A131" s="12"/>
      <c r="B131" s="101"/>
      <c r="C131" s="101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  <c r="O131" s="101"/>
      <c r="P131" s="101"/>
      <c r="Q131" s="101"/>
      <c r="R131" s="101"/>
      <c r="S131" s="101"/>
      <c r="T131" s="101"/>
      <c r="U131" s="101"/>
      <c r="V131" s="101"/>
      <c r="W131" s="101"/>
      <c r="X131" s="101"/>
      <c r="Y131" s="101"/>
      <c r="Z131" s="101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101"/>
      <c r="AQ131" s="101"/>
      <c r="AR131" s="101"/>
      <c r="AS131" s="19"/>
    </row>
    <row r="132" spans="1:45">
      <c r="A132" s="12"/>
      <c r="B132" s="101"/>
      <c r="C132" s="101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  <c r="O132" s="101"/>
      <c r="P132" s="101"/>
      <c r="Q132" s="101"/>
      <c r="R132" s="101"/>
      <c r="S132" s="101"/>
      <c r="T132" s="101"/>
      <c r="U132" s="101"/>
      <c r="V132" s="101"/>
      <c r="W132" s="101"/>
      <c r="X132" s="101"/>
      <c r="Y132" s="101"/>
      <c r="Z132" s="101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101"/>
      <c r="AQ132" s="101"/>
      <c r="AR132" s="101"/>
      <c r="AS132" s="19"/>
    </row>
    <row r="133" spans="1:45">
      <c r="A133" s="12"/>
      <c r="B133" s="101"/>
      <c r="C133" s="101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  <c r="O133" s="101"/>
      <c r="P133" s="101"/>
      <c r="Q133" s="101"/>
      <c r="R133" s="101"/>
      <c r="S133" s="101"/>
      <c r="T133" s="101"/>
      <c r="U133" s="101"/>
      <c r="V133" s="101"/>
      <c r="W133" s="101"/>
      <c r="X133" s="101"/>
      <c r="Y133" s="101"/>
      <c r="Z133" s="101"/>
      <c r="AA133" s="101"/>
      <c r="AB133" s="101"/>
      <c r="AC133" s="101"/>
      <c r="AD133" s="101"/>
      <c r="AE133" s="101"/>
      <c r="AF133" s="101"/>
      <c r="AG133" s="101"/>
      <c r="AH133" s="101"/>
      <c r="AI133" s="101"/>
      <c r="AJ133" s="101"/>
      <c r="AK133" s="101"/>
      <c r="AL133" s="101"/>
      <c r="AM133" s="101"/>
      <c r="AN133" s="101"/>
      <c r="AO133" s="101"/>
      <c r="AP133" s="101"/>
      <c r="AQ133" s="101"/>
      <c r="AR133" s="101"/>
      <c r="AS133" s="19"/>
    </row>
    <row r="134" spans="1:45">
      <c r="A134" s="12"/>
      <c r="B134" s="101"/>
      <c r="C134" s="101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  <c r="O134" s="101"/>
      <c r="P134" s="101"/>
      <c r="Q134" s="101"/>
      <c r="R134" s="101"/>
      <c r="S134" s="101"/>
      <c r="T134" s="101"/>
      <c r="U134" s="101"/>
      <c r="V134" s="101"/>
      <c r="W134" s="101"/>
      <c r="X134" s="101"/>
      <c r="Y134" s="101"/>
      <c r="Z134" s="101"/>
      <c r="AA134" s="101"/>
      <c r="AB134" s="101"/>
      <c r="AC134" s="101"/>
      <c r="AD134" s="101"/>
      <c r="AE134" s="101"/>
      <c r="AF134" s="101"/>
      <c r="AG134" s="101"/>
      <c r="AH134" s="101"/>
      <c r="AI134" s="101"/>
      <c r="AJ134" s="101"/>
      <c r="AK134" s="101"/>
      <c r="AL134" s="101"/>
      <c r="AM134" s="101"/>
      <c r="AN134" s="101"/>
      <c r="AO134" s="101"/>
      <c r="AP134" s="101"/>
      <c r="AQ134" s="101"/>
      <c r="AR134" s="101"/>
      <c r="AS134" s="19"/>
    </row>
    <row r="135" spans="1:45">
      <c r="A135" s="12"/>
      <c r="B135" s="101"/>
      <c r="C135" s="101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  <c r="O135" s="101"/>
      <c r="P135" s="101"/>
      <c r="Q135" s="101"/>
      <c r="R135" s="101"/>
      <c r="S135" s="101"/>
      <c r="T135" s="101"/>
      <c r="U135" s="101"/>
      <c r="V135" s="101"/>
      <c r="W135" s="101"/>
      <c r="X135" s="101"/>
      <c r="Y135" s="101"/>
      <c r="Z135" s="101"/>
      <c r="AA135" s="101"/>
      <c r="AB135" s="101"/>
      <c r="AC135" s="101"/>
      <c r="AD135" s="101"/>
      <c r="AE135" s="101"/>
      <c r="AF135" s="101"/>
      <c r="AG135" s="101"/>
      <c r="AH135" s="101"/>
      <c r="AI135" s="101"/>
      <c r="AJ135" s="101"/>
      <c r="AK135" s="101"/>
      <c r="AL135" s="101"/>
      <c r="AM135" s="101"/>
      <c r="AN135" s="101"/>
      <c r="AO135" s="101"/>
      <c r="AP135" s="101"/>
      <c r="AQ135" s="101"/>
      <c r="AR135" s="101"/>
      <c r="AS135" s="19"/>
    </row>
    <row r="136" spans="1:45">
      <c r="A136" s="12"/>
      <c r="B136" s="101"/>
      <c r="C136" s="101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  <c r="O136" s="101"/>
      <c r="P136" s="101"/>
      <c r="Q136" s="101"/>
      <c r="R136" s="101"/>
      <c r="S136" s="101"/>
      <c r="T136" s="101"/>
      <c r="U136" s="101"/>
      <c r="V136" s="101"/>
      <c r="W136" s="101"/>
      <c r="X136" s="101"/>
      <c r="Y136" s="101"/>
      <c r="Z136" s="101"/>
      <c r="AA136" s="101"/>
      <c r="AB136" s="101"/>
      <c r="AC136" s="101"/>
      <c r="AD136" s="101"/>
      <c r="AE136" s="101"/>
      <c r="AF136" s="101"/>
      <c r="AG136" s="101"/>
      <c r="AH136" s="101"/>
      <c r="AI136" s="101"/>
      <c r="AJ136" s="101"/>
      <c r="AK136" s="101"/>
      <c r="AL136" s="101"/>
      <c r="AM136" s="101"/>
      <c r="AN136" s="101"/>
      <c r="AO136" s="101"/>
      <c r="AP136" s="101"/>
      <c r="AQ136" s="101"/>
      <c r="AR136" s="101"/>
      <c r="AS136" s="19"/>
    </row>
    <row r="137" spans="1:45">
      <c r="A137" s="12"/>
      <c r="B137" s="101"/>
      <c r="C137" s="101"/>
      <c r="D137" s="101"/>
      <c r="E137" s="101"/>
      <c r="F137" s="101"/>
      <c r="G137" s="101"/>
      <c r="H137" s="101"/>
      <c r="I137" s="101"/>
      <c r="J137" s="101"/>
      <c r="K137" s="101"/>
      <c r="L137" s="101"/>
      <c r="M137" s="101"/>
      <c r="N137" s="101"/>
      <c r="O137" s="101"/>
      <c r="P137" s="101"/>
      <c r="Q137" s="101"/>
      <c r="R137" s="101"/>
      <c r="S137" s="101"/>
      <c r="T137" s="101"/>
      <c r="U137" s="101"/>
      <c r="V137" s="101"/>
      <c r="W137" s="101"/>
      <c r="X137" s="101"/>
      <c r="Y137" s="101"/>
      <c r="Z137" s="101"/>
      <c r="AA137" s="101"/>
      <c r="AB137" s="101"/>
      <c r="AC137" s="101"/>
      <c r="AD137" s="101"/>
      <c r="AE137" s="101"/>
      <c r="AF137" s="101"/>
      <c r="AG137" s="101"/>
      <c r="AH137" s="101"/>
      <c r="AI137" s="101"/>
      <c r="AJ137" s="101"/>
      <c r="AK137" s="101"/>
      <c r="AL137" s="101"/>
      <c r="AM137" s="101"/>
      <c r="AN137" s="101"/>
      <c r="AO137" s="101"/>
      <c r="AP137" s="101"/>
      <c r="AQ137" s="101"/>
      <c r="AR137" s="101"/>
      <c r="AS137" s="19"/>
    </row>
    <row r="138" spans="1:45">
      <c r="A138" s="12"/>
      <c r="B138" s="101"/>
      <c r="C138" s="101"/>
      <c r="D138" s="101"/>
      <c r="E138" s="101"/>
      <c r="F138" s="101"/>
      <c r="G138" s="101"/>
      <c r="H138" s="101"/>
      <c r="I138" s="101"/>
      <c r="J138" s="101"/>
      <c r="K138" s="101"/>
      <c r="L138" s="101"/>
      <c r="M138" s="101"/>
      <c r="N138" s="101"/>
      <c r="O138" s="101"/>
      <c r="P138" s="101"/>
      <c r="Q138" s="101"/>
      <c r="R138" s="101"/>
      <c r="S138" s="101"/>
      <c r="T138" s="101"/>
      <c r="U138" s="101"/>
      <c r="V138" s="101"/>
      <c r="W138" s="101"/>
      <c r="X138" s="101"/>
      <c r="Y138" s="101"/>
      <c r="Z138" s="101"/>
      <c r="AA138" s="101"/>
      <c r="AB138" s="101"/>
      <c r="AC138" s="101"/>
      <c r="AD138" s="101"/>
      <c r="AE138" s="101"/>
      <c r="AF138" s="101"/>
      <c r="AG138" s="101"/>
      <c r="AH138" s="101"/>
      <c r="AI138" s="101"/>
      <c r="AJ138" s="101"/>
      <c r="AK138" s="101"/>
      <c r="AL138" s="101"/>
      <c r="AM138" s="101"/>
      <c r="AN138" s="101"/>
      <c r="AO138" s="101"/>
      <c r="AP138" s="101"/>
      <c r="AQ138" s="101"/>
      <c r="AR138" s="101"/>
      <c r="AS138" s="19"/>
    </row>
    <row r="139" spans="1:45">
      <c r="A139" s="12"/>
      <c r="B139" s="101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1"/>
      <c r="P139" s="101"/>
      <c r="Q139" s="101"/>
      <c r="R139" s="101"/>
      <c r="S139" s="101"/>
      <c r="T139" s="101"/>
      <c r="U139" s="101"/>
      <c r="V139" s="101"/>
      <c r="W139" s="101"/>
      <c r="X139" s="101"/>
      <c r="Y139" s="101"/>
      <c r="Z139" s="101"/>
      <c r="AA139" s="101"/>
      <c r="AB139" s="101"/>
      <c r="AC139" s="101"/>
      <c r="AD139" s="101"/>
      <c r="AE139" s="101"/>
      <c r="AF139" s="101"/>
      <c r="AG139" s="101"/>
      <c r="AH139" s="101"/>
      <c r="AI139" s="101"/>
      <c r="AJ139" s="101"/>
      <c r="AK139" s="101"/>
      <c r="AL139" s="101"/>
      <c r="AM139" s="101"/>
      <c r="AN139" s="101"/>
      <c r="AO139" s="101"/>
      <c r="AP139" s="101"/>
      <c r="AQ139" s="101"/>
      <c r="AR139" s="101"/>
      <c r="AS139" s="19"/>
    </row>
    <row r="140" spans="1:45" ht="15.75" thickBot="1">
      <c r="A140" s="27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  <c r="AM140" s="28"/>
      <c r="AN140" s="28"/>
      <c r="AO140" s="28"/>
      <c r="AP140" s="28"/>
      <c r="AQ140" s="28"/>
      <c r="AR140" s="28"/>
      <c r="AS140" s="30"/>
    </row>
  </sheetData>
  <mergeCells count="10">
    <mergeCell ref="A2:D2"/>
    <mergeCell ref="E2:G2"/>
    <mergeCell ref="H2:L2"/>
    <mergeCell ref="M2:P2"/>
    <mergeCell ref="Q2:U2"/>
    <mergeCell ref="A1:D1"/>
    <mergeCell ref="E1:G1"/>
    <mergeCell ref="H1:L1"/>
    <mergeCell ref="M1:P1"/>
    <mergeCell ref="Q1:U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Button 3">
              <controlPr defaultSize="0" print="0" autoFill="0" autoPict="0" macro="[0]!Button3_Click">
                <anchor moveWithCells="1" sizeWithCells="1">
                  <from>
                    <xdr:col>7</xdr:col>
                    <xdr:colOff>342900</xdr:colOff>
                    <xdr:row>0</xdr:row>
                    <xdr:rowOff>28575</xdr:rowOff>
                  </from>
                  <to>
                    <xdr:col>9</xdr:col>
                    <xdr:colOff>381000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2"/>
  </sheetPr>
  <dimension ref="A1:AS113"/>
  <sheetViews>
    <sheetView zoomScale="93" zoomScaleNormal="93" zoomScalePageLayoutView="150" workbookViewId="0">
      <pane ySplit="3" topLeftCell="A49" activePane="bottomLeft" state="frozen"/>
      <selection pane="bottomLeft" activeCell="A3" sqref="A3:XFD3"/>
    </sheetView>
  </sheetViews>
  <sheetFormatPr defaultColWidth="8.85546875" defaultRowHeight="15"/>
  <cols>
    <col min="1" max="1" width="5.85546875" style="48" bestFit="1" customWidth="1"/>
    <col min="2" max="2" width="6.28515625" style="48" bestFit="1" customWidth="1"/>
    <col min="3" max="3" width="11.7109375" style="48" bestFit="1" customWidth="1"/>
    <col min="4" max="4" width="6.42578125" style="48" customWidth="1"/>
    <col min="5" max="5" width="10.42578125" style="48" customWidth="1"/>
    <col min="6" max="6" width="7" customWidth="1"/>
    <col min="7" max="11" width="5" style="48" customWidth="1"/>
    <col min="12" max="12" width="8.42578125" style="48" bestFit="1" customWidth="1"/>
    <col min="13" max="13" width="3.140625" style="48" hidden="1" customWidth="1"/>
    <col min="14" max="14" width="3.42578125" style="48" hidden="1" customWidth="1"/>
    <col min="15" max="15" width="4.28515625" style="48" hidden="1" customWidth="1"/>
    <col min="16" max="16" width="11.85546875" bestFit="1" customWidth="1"/>
    <col min="17" max="17" width="4.28515625" style="65" customWidth="1"/>
    <col min="18" max="18" width="3.140625" style="65" customWidth="1"/>
    <col min="19" max="19" width="3.42578125" style="53" bestFit="1" customWidth="1"/>
    <col min="20" max="20" width="4" style="53" bestFit="1" customWidth="1"/>
    <col min="21" max="21" width="3.42578125" style="53" bestFit="1" customWidth="1"/>
    <col min="22" max="22" width="3.5703125" style="53" bestFit="1" customWidth="1"/>
    <col min="23" max="23" width="3.140625" style="53" customWidth="1"/>
    <col min="24" max="24" width="3.42578125" style="53" customWidth="1"/>
    <col min="25" max="26" width="3.140625" style="53" customWidth="1"/>
    <col min="27" max="27" width="8.42578125" style="48" customWidth="1"/>
    <col min="28" max="29" width="5" customWidth="1"/>
    <col min="30" max="30" width="6.42578125" customWidth="1"/>
    <col min="31" max="31" width="9" bestFit="1" customWidth="1"/>
    <col min="32" max="32" width="6.28515625" customWidth="1"/>
    <col min="33" max="33" width="6.42578125" customWidth="1"/>
    <col min="34" max="34" width="10" bestFit="1" customWidth="1"/>
    <col min="35" max="35" width="5" style="61" customWidth="1"/>
    <col min="36" max="36" width="3" style="48" bestFit="1" customWidth="1"/>
    <col min="37" max="37" width="3.42578125" style="48" bestFit="1" customWidth="1"/>
    <col min="38" max="40" width="3" style="48" bestFit="1" customWidth="1"/>
    <col min="41" max="41" width="8.5703125" style="48" customWidth="1"/>
    <col min="42" max="43" width="4" style="48" bestFit="1" customWidth="1"/>
    <col min="44" max="44" width="10.85546875" bestFit="1" customWidth="1"/>
    <col min="45" max="45" width="8.42578125" bestFit="1" customWidth="1"/>
  </cols>
  <sheetData>
    <row r="1" spans="1:45" ht="15" customHeight="1">
      <c r="A1" s="134" t="s">
        <v>156</v>
      </c>
      <c r="B1" s="134"/>
      <c r="C1" s="134"/>
      <c r="D1" s="134"/>
      <c r="E1" s="135"/>
      <c r="F1" s="135"/>
      <c r="G1" s="135"/>
      <c r="H1" s="136"/>
      <c r="I1" s="137"/>
      <c r="J1" s="137"/>
      <c r="K1" s="137"/>
      <c r="L1" s="138"/>
      <c r="M1" s="134" t="s">
        <v>154</v>
      </c>
      <c r="N1" s="134"/>
      <c r="O1" s="134"/>
      <c r="P1" s="134"/>
      <c r="Q1" s="139"/>
      <c r="R1" s="139"/>
      <c r="S1" s="139"/>
      <c r="T1" s="139"/>
      <c r="U1" s="139"/>
      <c r="AJ1" s="44"/>
      <c r="AK1" s="44"/>
      <c r="AL1" s="44"/>
      <c r="AM1" s="44"/>
      <c r="AN1" s="64"/>
      <c r="AO1" s="64"/>
    </row>
    <row r="2" spans="1:45" ht="33.950000000000003" customHeight="1" thickBot="1">
      <c r="A2" s="128" t="s">
        <v>157</v>
      </c>
      <c r="B2" s="128"/>
      <c r="C2" s="128"/>
      <c r="D2" s="128"/>
      <c r="E2" s="129"/>
      <c r="F2" s="129"/>
      <c r="G2" s="129"/>
      <c r="H2" s="130"/>
      <c r="I2" s="131"/>
      <c r="J2" s="131"/>
      <c r="K2" s="131"/>
      <c r="L2" s="132"/>
      <c r="M2" s="128" t="s">
        <v>155</v>
      </c>
      <c r="N2" s="128"/>
      <c r="O2" s="128"/>
      <c r="P2" s="128"/>
      <c r="Q2" s="133"/>
      <c r="R2" s="133"/>
      <c r="S2" s="133"/>
      <c r="T2" s="133"/>
      <c r="U2" s="133"/>
      <c r="AJ2" s="44"/>
      <c r="AK2" s="44"/>
      <c r="AL2" s="44"/>
      <c r="AM2" s="44"/>
      <c r="AN2" s="74"/>
      <c r="AO2" s="74"/>
    </row>
    <row r="3" spans="1:45" s="53" customFormat="1" ht="186.75" customHeight="1" thickBot="1">
      <c r="A3" s="75" t="s">
        <v>124</v>
      </c>
      <c r="B3" s="49" t="s">
        <v>125</v>
      </c>
      <c r="C3" s="78" t="s">
        <v>130</v>
      </c>
      <c r="D3" s="60" t="s">
        <v>132</v>
      </c>
      <c r="E3" s="78" t="s">
        <v>142</v>
      </c>
      <c r="F3" s="76" t="s">
        <v>135</v>
      </c>
      <c r="G3" s="78" t="s">
        <v>5</v>
      </c>
      <c r="H3" s="49" t="s">
        <v>6</v>
      </c>
      <c r="I3" s="49" t="s">
        <v>7</v>
      </c>
      <c r="J3" s="49" t="s">
        <v>8</v>
      </c>
      <c r="K3" s="49" t="s">
        <v>133</v>
      </c>
      <c r="L3" s="60" t="s">
        <v>134</v>
      </c>
      <c r="M3" s="79" t="s">
        <v>9</v>
      </c>
      <c r="N3" s="75" t="s">
        <v>10</v>
      </c>
      <c r="O3" s="49" t="s">
        <v>11</v>
      </c>
      <c r="P3" s="76" t="s">
        <v>13</v>
      </c>
      <c r="Q3" s="50" t="s">
        <v>126</v>
      </c>
      <c r="R3" s="49" t="s">
        <v>127</v>
      </c>
      <c r="S3" s="76" t="s">
        <v>14</v>
      </c>
      <c r="T3" s="76" t="s">
        <v>15</v>
      </c>
      <c r="U3" s="76" t="s">
        <v>16</v>
      </c>
      <c r="V3" s="62" t="s">
        <v>137</v>
      </c>
      <c r="W3" s="63" t="s">
        <v>138</v>
      </c>
      <c r="X3" s="63" t="s">
        <v>139</v>
      </c>
      <c r="Y3" s="63" t="s">
        <v>141</v>
      </c>
      <c r="Z3" s="63" t="s">
        <v>140</v>
      </c>
      <c r="AA3" s="49" t="s">
        <v>12</v>
      </c>
      <c r="AB3" s="69" t="s">
        <v>159</v>
      </c>
      <c r="AC3" s="69" t="s">
        <v>160</v>
      </c>
      <c r="AD3" s="69" t="s">
        <v>18</v>
      </c>
      <c r="AE3" s="69" t="s">
        <v>19</v>
      </c>
      <c r="AF3" s="69" t="s">
        <v>20</v>
      </c>
      <c r="AG3" s="69" t="s">
        <v>21</v>
      </c>
      <c r="AH3" s="69" t="s">
        <v>22</v>
      </c>
      <c r="AI3" s="72" t="s">
        <v>131</v>
      </c>
      <c r="AJ3" s="50" t="s">
        <v>0</v>
      </c>
      <c r="AK3" s="49" t="s">
        <v>1</v>
      </c>
      <c r="AL3" s="49" t="s">
        <v>2</v>
      </c>
      <c r="AM3" s="49" t="s">
        <v>3</v>
      </c>
      <c r="AN3" s="49" t="s">
        <v>128</v>
      </c>
      <c r="AO3" s="51" t="s">
        <v>129</v>
      </c>
      <c r="AP3" s="52" t="s">
        <v>96</v>
      </c>
      <c r="AQ3" s="52" t="s">
        <v>4</v>
      </c>
      <c r="AR3" s="70" t="s">
        <v>17</v>
      </c>
      <c r="AS3" s="77" t="s">
        <v>136</v>
      </c>
    </row>
    <row r="4" spans="1:45" s="55" customFormat="1" ht="33.75">
      <c r="A4" s="43" t="s">
        <v>44</v>
      </c>
      <c r="B4" s="3" t="s">
        <v>23</v>
      </c>
      <c r="C4" s="3" t="s">
        <v>36</v>
      </c>
      <c r="D4" s="3" t="s">
        <v>24</v>
      </c>
      <c r="E4" s="3" t="s">
        <v>45</v>
      </c>
      <c r="F4" s="3" t="s">
        <v>46</v>
      </c>
      <c r="G4" s="3" t="s">
        <v>37</v>
      </c>
      <c r="H4" s="3" t="s">
        <v>38</v>
      </c>
      <c r="I4" s="3" t="s">
        <v>37</v>
      </c>
      <c r="J4" s="3" t="s">
        <v>38</v>
      </c>
      <c r="K4" s="3" t="s">
        <v>29</v>
      </c>
      <c r="L4" s="3" t="s">
        <v>41</v>
      </c>
      <c r="M4" s="3" t="s">
        <v>24</v>
      </c>
      <c r="N4" s="3" t="s">
        <v>37</v>
      </c>
      <c r="O4" s="3" t="s">
        <v>38</v>
      </c>
      <c r="P4" s="3" t="s">
        <v>65</v>
      </c>
      <c r="Q4" s="3">
        <v>60</v>
      </c>
      <c r="R4" s="3">
        <v>7</v>
      </c>
      <c r="S4" s="2">
        <v>2</v>
      </c>
      <c r="T4" s="2">
        <v>1</v>
      </c>
      <c r="U4" s="2">
        <v>0.5</v>
      </c>
      <c r="V4" s="3">
        <f t="shared" ref="V4:V14" si="0">(Q4-(R4*2))/2</f>
        <v>23</v>
      </c>
      <c r="W4" s="3">
        <v>25</v>
      </c>
      <c r="X4" s="3">
        <v>1</v>
      </c>
      <c r="Y4" s="3">
        <v>20</v>
      </c>
      <c r="Z4" s="3">
        <v>10</v>
      </c>
      <c r="AA4" s="3" t="s">
        <v>12</v>
      </c>
      <c r="AB4" s="3">
        <f>((Q4-(AN4*2))*1.5+(Y4*2)+((S4+U4+T4)*2)*X4)/36*2</f>
        <v>7.6111111111111107</v>
      </c>
      <c r="AC4" s="3"/>
      <c r="AD4" s="3">
        <f>(((Q12-R12*2)*1.5)+(Z12+S12)*2)*X12/36</f>
        <v>4.25</v>
      </c>
      <c r="AE4" s="3"/>
      <c r="AF4" s="3"/>
      <c r="AG4" s="3"/>
      <c r="AH4" s="3"/>
      <c r="AI4" s="107" t="s">
        <v>24</v>
      </c>
      <c r="AJ4" s="3">
        <v>4</v>
      </c>
      <c r="AK4" s="3">
        <v>40</v>
      </c>
      <c r="AL4" s="3">
        <v>7</v>
      </c>
      <c r="AM4" s="3">
        <v>7</v>
      </c>
      <c r="AN4" s="3">
        <v>0</v>
      </c>
      <c r="AO4" s="3" t="s">
        <v>35</v>
      </c>
      <c r="AP4" s="3" t="s">
        <v>31</v>
      </c>
      <c r="AQ4" s="3" t="s">
        <v>31</v>
      </c>
      <c r="AR4" s="3" t="s">
        <v>66</v>
      </c>
      <c r="AS4" s="54"/>
    </row>
    <row r="5" spans="1:45" s="55" customFormat="1" ht="33.75">
      <c r="A5" s="45" t="s">
        <v>44</v>
      </c>
      <c r="B5" s="5" t="s">
        <v>23</v>
      </c>
      <c r="C5" s="5" t="s">
        <v>36</v>
      </c>
      <c r="D5" s="5" t="s">
        <v>24</v>
      </c>
      <c r="E5" s="5" t="s">
        <v>45</v>
      </c>
      <c r="F5" s="5" t="s">
        <v>51</v>
      </c>
      <c r="G5" s="5" t="s">
        <v>37</v>
      </c>
      <c r="H5" s="5" t="s">
        <v>38</v>
      </c>
      <c r="I5" s="5" t="s">
        <v>37</v>
      </c>
      <c r="J5" s="5" t="s">
        <v>38</v>
      </c>
      <c r="K5" s="5" t="s">
        <v>52</v>
      </c>
      <c r="L5" s="5"/>
      <c r="M5" s="5" t="s">
        <v>24</v>
      </c>
      <c r="N5" s="5" t="s">
        <v>37</v>
      </c>
      <c r="O5" s="5" t="s">
        <v>38</v>
      </c>
      <c r="P5" s="5" t="s">
        <v>65</v>
      </c>
      <c r="Q5" s="5">
        <v>60</v>
      </c>
      <c r="R5" s="5">
        <v>7</v>
      </c>
      <c r="S5" s="4">
        <v>2</v>
      </c>
      <c r="T5" s="4">
        <v>1</v>
      </c>
      <c r="U5" s="4">
        <v>0.5</v>
      </c>
      <c r="V5" s="5">
        <f t="shared" si="0"/>
        <v>23</v>
      </c>
      <c r="W5" s="5">
        <v>25</v>
      </c>
      <c r="X5" s="5">
        <v>1</v>
      </c>
      <c r="Y5" s="5">
        <v>20</v>
      </c>
      <c r="Z5" s="5">
        <v>10</v>
      </c>
      <c r="AA5" s="5" t="s">
        <v>12</v>
      </c>
      <c r="AB5" s="5"/>
      <c r="AC5" s="5"/>
      <c r="AD5" s="5">
        <f>(((Q5-R5*2)*1.5)+(Z5+S5)*2)*X5/36</f>
        <v>2.5833333333333335</v>
      </c>
      <c r="AE5" s="5">
        <f>ROUND(X5*35,2)</f>
        <v>35</v>
      </c>
      <c r="AF5" s="5"/>
      <c r="AG5" s="5"/>
      <c r="AH5" s="5"/>
      <c r="AI5" s="108" t="s">
        <v>24</v>
      </c>
      <c r="AJ5" s="5">
        <v>4</v>
      </c>
      <c r="AK5" s="5">
        <v>40</v>
      </c>
      <c r="AL5" s="5">
        <v>7</v>
      </c>
      <c r="AM5" s="5">
        <v>7</v>
      </c>
      <c r="AN5" s="5">
        <v>0</v>
      </c>
      <c r="AO5" s="5" t="s">
        <v>35</v>
      </c>
      <c r="AP5" s="57" t="s">
        <v>43</v>
      </c>
      <c r="AQ5" s="57" t="s">
        <v>43</v>
      </c>
      <c r="AR5" s="5" t="s">
        <v>66</v>
      </c>
      <c r="AS5" s="46"/>
    </row>
    <row r="6" spans="1:45" s="55" customFormat="1" ht="33.75">
      <c r="A6" s="45" t="s">
        <v>42</v>
      </c>
      <c r="B6" s="5" t="s">
        <v>23</v>
      </c>
      <c r="C6" s="5" t="s">
        <v>36</v>
      </c>
      <c r="D6" s="5" t="s">
        <v>24</v>
      </c>
      <c r="E6" s="5" t="s">
        <v>45</v>
      </c>
      <c r="F6" s="5" t="s">
        <v>46</v>
      </c>
      <c r="G6" s="5" t="s">
        <v>37</v>
      </c>
      <c r="H6" s="5" t="s">
        <v>38</v>
      </c>
      <c r="I6" s="5" t="s">
        <v>37</v>
      </c>
      <c r="J6" s="5" t="s">
        <v>38</v>
      </c>
      <c r="K6" s="5" t="s">
        <v>52</v>
      </c>
      <c r="L6" s="5" t="s">
        <v>38</v>
      </c>
      <c r="M6" s="5" t="s">
        <v>24</v>
      </c>
      <c r="N6" s="5" t="s">
        <v>37</v>
      </c>
      <c r="O6" s="5" t="s">
        <v>38</v>
      </c>
      <c r="P6" s="5" t="s">
        <v>65</v>
      </c>
      <c r="Q6" s="5">
        <v>60</v>
      </c>
      <c r="R6" s="5">
        <v>7</v>
      </c>
      <c r="S6" s="4">
        <v>2</v>
      </c>
      <c r="T6" s="4">
        <v>1</v>
      </c>
      <c r="U6" s="4">
        <v>0.5</v>
      </c>
      <c r="V6" s="5">
        <f t="shared" si="0"/>
        <v>23</v>
      </c>
      <c r="W6" s="5">
        <v>25</v>
      </c>
      <c r="X6" s="5">
        <v>1</v>
      </c>
      <c r="Y6" s="5">
        <v>20</v>
      </c>
      <c r="Z6" s="5">
        <v>10</v>
      </c>
      <c r="AA6" s="5" t="s">
        <v>12</v>
      </c>
      <c r="AB6" s="5"/>
      <c r="AC6" s="5"/>
      <c r="AD6" s="5">
        <f>(((Q6-R6*2)*1.5)+(Z6+S6)*2)*X6/36</f>
        <v>2.5833333333333335</v>
      </c>
      <c r="AE6" s="5">
        <f>ROUND(X6*35,2)</f>
        <v>35</v>
      </c>
      <c r="AF6" s="5"/>
      <c r="AG6" s="5"/>
      <c r="AH6" s="5"/>
      <c r="AI6" s="108" t="s">
        <v>24</v>
      </c>
      <c r="AJ6" s="5">
        <v>4</v>
      </c>
      <c r="AK6" s="5">
        <v>40</v>
      </c>
      <c r="AL6" s="5">
        <v>7</v>
      </c>
      <c r="AM6" s="5">
        <v>7</v>
      </c>
      <c r="AN6" s="5">
        <v>0</v>
      </c>
      <c r="AO6" s="5" t="s">
        <v>35</v>
      </c>
      <c r="AP6" s="57" t="s">
        <v>32</v>
      </c>
      <c r="AQ6" s="57" t="s">
        <v>32</v>
      </c>
      <c r="AR6" s="5" t="s">
        <v>66</v>
      </c>
      <c r="AS6" s="46"/>
    </row>
    <row r="7" spans="1:45" s="55" customFormat="1" ht="33.75">
      <c r="A7" s="45" t="s">
        <v>67</v>
      </c>
      <c r="B7" s="5" t="s">
        <v>23</v>
      </c>
      <c r="C7" s="5" t="s">
        <v>36</v>
      </c>
      <c r="D7" s="5" t="s">
        <v>24</v>
      </c>
      <c r="E7" s="5" t="s">
        <v>45</v>
      </c>
      <c r="F7" s="5" t="s">
        <v>46</v>
      </c>
      <c r="G7" s="5" t="s">
        <v>37</v>
      </c>
      <c r="H7" s="5" t="s">
        <v>38</v>
      </c>
      <c r="I7" s="5" t="s">
        <v>37</v>
      </c>
      <c r="J7" s="5" t="s">
        <v>38</v>
      </c>
      <c r="K7" s="5" t="s">
        <v>52</v>
      </c>
      <c r="L7" s="5" t="s">
        <v>28</v>
      </c>
      <c r="M7" s="5" t="s">
        <v>24</v>
      </c>
      <c r="N7" s="5" t="s">
        <v>37</v>
      </c>
      <c r="O7" s="5" t="s">
        <v>38</v>
      </c>
      <c r="P7" s="5" t="s">
        <v>65</v>
      </c>
      <c r="Q7" s="5">
        <v>60</v>
      </c>
      <c r="R7" s="5">
        <v>7</v>
      </c>
      <c r="S7" s="4">
        <v>2</v>
      </c>
      <c r="T7" s="4">
        <v>1</v>
      </c>
      <c r="U7" s="4">
        <v>0.5</v>
      </c>
      <c r="V7" s="5">
        <f t="shared" si="0"/>
        <v>23</v>
      </c>
      <c r="W7" s="5">
        <v>25</v>
      </c>
      <c r="X7" s="5">
        <v>1</v>
      </c>
      <c r="Y7" s="5">
        <v>20</v>
      </c>
      <c r="Z7" s="5">
        <v>10</v>
      </c>
      <c r="AA7" s="5" t="s">
        <v>12</v>
      </c>
      <c r="AB7" s="5"/>
      <c r="AC7" s="5"/>
      <c r="AD7" s="5">
        <f>(((Q7-R7*2)*1.5)+(Z7+S7)*2)*X7/36</f>
        <v>2.5833333333333335</v>
      </c>
      <c r="AE7" s="5">
        <f>ROUND(X7*35,2)</f>
        <v>35</v>
      </c>
      <c r="AF7" s="5"/>
      <c r="AG7" s="5"/>
      <c r="AH7" s="5"/>
      <c r="AI7" s="108" t="s">
        <v>24</v>
      </c>
      <c r="AJ7" s="5">
        <v>4</v>
      </c>
      <c r="AK7" s="5">
        <v>40</v>
      </c>
      <c r="AL7" s="5">
        <v>7</v>
      </c>
      <c r="AM7" s="5">
        <v>7</v>
      </c>
      <c r="AN7" s="5">
        <v>0</v>
      </c>
      <c r="AO7" s="5" t="s">
        <v>35</v>
      </c>
      <c r="AP7" s="57" t="s">
        <v>32</v>
      </c>
      <c r="AQ7" s="57" t="s">
        <v>32</v>
      </c>
      <c r="AR7" s="5" t="s">
        <v>66</v>
      </c>
      <c r="AS7" s="46"/>
    </row>
    <row r="8" spans="1:45" s="55" customFormat="1" ht="33.75">
      <c r="A8" s="45" t="s">
        <v>67</v>
      </c>
      <c r="B8" s="5" t="s">
        <v>23</v>
      </c>
      <c r="C8" s="5" t="s">
        <v>36</v>
      </c>
      <c r="D8" s="5" t="s">
        <v>24</v>
      </c>
      <c r="E8" s="5" t="s">
        <v>45</v>
      </c>
      <c r="F8" s="5" t="s">
        <v>46</v>
      </c>
      <c r="G8" s="5" t="s">
        <v>37</v>
      </c>
      <c r="H8" s="5" t="s">
        <v>38</v>
      </c>
      <c r="I8" s="5" t="s">
        <v>37</v>
      </c>
      <c r="J8" s="5" t="s">
        <v>38</v>
      </c>
      <c r="K8" s="5" t="s">
        <v>52</v>
      </c>
      <c r="L8" s="5" t="s">
        <v>68</v>
      </c>
      <c r="M8" s="5" t="s">
        <v>24</v>
      </c>
      <c r="N8" s="5" t="s">
        <v>37</v>
      </c>
      <c r="O8" s="5" t="s">
        <v>38</v>
      </c>
      <c r="P8" s="5" t="s">
        <v>65</v>
      </c>
      <c r="Q8" s="5">
        <v>60</v>
      </c>
      <c r="R8" s="5">
        <v>7</v>
      </c>
      <c r="S8" s="4">
        <v>2</v>
      </c>
      <c r="T8" s="4">
        <v>1</v>
      </c>
      <c r="U8" s="4">
        <v>0.5</v>
      </c>
      <c r="V8" s="5">
        <f t="shared" si="0"/>
        <v>23</v>
      </c>
      <c r="W8" s="5">
        <v>25</v>
      </c>
      <c r="X8" s="5">
        <v>1</v>
      </c>
      <c r="Y8" s="5">
        <v>20</v>
      </c>
      <c r="Z8" s="5">
        <v>10</v>
      </c>
      <c r="AA8" s="5" t="s">
        <v>12</v>
      </c>
      <c r="AB8" s="5"/>
      <c r="AC8" s="5"/>
      <c r="AD8" s="5"/>
      <c r="AE8" s="5"/>
      <c r="AF8" s="5"/>
      <c r="AG8" s="5"/>
      <c r="AH8" s="5"/>
      <c r="AI8" s="108" t="s">
        <v>24</v>
      </c>
      <c r="AJ8" s="5">
        <v>4</v>
      </c>
      <c r="AK8" s="5">
        <v>40</v>
      </c>
      <c r="AL8" s="5">
        <v>7</v>
      </c>
      <c r="AM8" s="5">
        <v>7</v>
      </c>
      <c r="AN8" s="5">
        <v>0</v>
      </c>
      <c r="AO8" s="5" t="s">
        <v>35</v>
      </c>
      <c r="AP8" s="57" t="s">
        <v>32</v>
      </c>
      <c r="AQ8" s="57" t="s">
        <v>32</v>
      </c>
      <c r="AR8" s="5" t="s">
        <v>66</v>
      </c>
      <c r="AS8" s="46"/>
    </row>
    <row r="9" spans="1:45" s="55" customFormat="1" ht="33.75">
      <c r="A9" s="45" t="s">
        <v>69</v>
      </c>
      <c r="B9" s="5" t="s">
        <v>23</v>
      </c>
      <c r="C9" s="5" t="s">
        <v>36</v>
      </c>
      <c r="D9" s="5" t="s">
        <v>24</v>
      </c>
      <c r="E9" s="5" t="s">
        <v>45</v>
      </c>
      <c r="F9" s="5" t="s">
        <v>46</v>
      </c>
      <c r="G9" s="5" t="s">
        <v>37</v>
      </c>
      <c r="H9" s="5" t="s">
        <v>38</v>
      </c>
      <c r="I9" s="5" t="s">
        <v>37</v>
      </c>
      <c r="J9" s="5" t="s">
        <v>38</v>
      </c>
      <c r="K9" s="5" t="s">
        <v>29</v>
      </c>
      <c r="L9" s="5"/>
      <c r="M9" s="5" t="s">
        <v>24</v>
      </c>
      <c r="N9" s="5" t="s">
        <v>37</v>
      </c>
      <c r="O9" s="5" t="s">
        <v>38</v>
      </c>
      <c r="P9" s="5" t="s">
        <v>65</v>
      </c>
      <c r="Q9" s="5">
        <v>60</v>
      </c>
      <c r="R9" s="5">
        <v>7</v>
      </c>
      <c r="S9" s="4">
        <v>2</v>
      </c>
      <c r="T9" s="4">
        <v>1</v>
      </c>
      <c r="U9" s="4">
        <v>0.5</v>
      </c>
      <c r="V9" s="5">
        <f t="shared" si="0"/>
        <v>23</v>
      </c>
      <c r="W9" s="5">
        <v>25</v>
      </c>
      <c r="X9" s="5">
        <v>1</v>
      </c>
      <c r="Y9" s="5">
        <v>20</v>
      </c>
      <c r="Z9" s="5">
        <v>10</v>
      </c>
      <c r="AA9" s="5" t="s">
        <v>12</v>
      </c>
      <c r="AB9" s="5">
        <f>((Q9-(AN9*2))*1.5+(Y9*2)+((S9+U9+T9)*2)*X9)/36*2</f>
        <v>7.6111111111111107</v>
      </c>
      <c r="AC9" s="5"/>
      <c r="AD9" s="5">
        <f>(((Q9-R9*2)*1.5)+(Z9+S9)*2)*X9/36</f>
        <v>2.5833333333333335</v>
      </c>
      <c r="AE9" s="5">
        <f t="shared" ref="AE9:AE14" si="1">ROUND(X9*35,2)</f>
        <v>35</v>
      </c>
      <c r="AF9" s="5">
        <f>7.61111111111111*25</f>
        <v>190.27777777777774</v>
      </c>
      <c r="AG9" s="5"/>
      <c r="AH9" s="5"/>
      <c r="AI9" s="108" t="s">
        <v>24</v>
      </c>
      <c r="AJ9" s="5">
        <v>4</v>
      </c>
      <c r="AK9" s="5">
        <v>40</v>
      </c>
      <c r="AL9" s="5">
        <v>7</v>
      </c>
      <c r="AM9" s="5">
        <v>7</v>
      </c>
      <c r="AN9" s="5">
        <v>0</v>
      </c>
      <c r="AO9" s="5" t="s">
        <v>35</v>
      </c>
      <c r="AP9" s="57"/>
      <c r="AQ9" s="57"/>
      <c r="AR9" s="5" t="s">
        <v>66</v>
      </c>
      <c r="AS9" s="46"/>
    </row>
    <row r="10" spans="1:45" s="55" customFormat="1" ht="33.75">
      <c r="A10" s="45" t="s">
        <v>70</v>
      </c>
      <c r="B10" s="5" t="s">
        <v>23</v>
      </c>
      <c r="C10" s="5" t="s">
        <v>36</v>
      </c>
      <c r="D10" s="5" t="s">
        <v>24</v>
      </c>
      <c r="E10" s="5" t="s">
        <v>45</v>
      </c>
      <c r="F10" s="5" t="s">
        <v>46</v>
      </c>
      <c r="G10" s="5" t="s">
        <v>37</v>
      </c>
      <c r="H10" s="5" t="s">
        <v>38</v>
      </c>
      <c r="I10" s="5" t="s">
        <v>37</v>
      </c>
      <c r="J10" s="5" t="s">
        <v>38</v>
      </c>
      <c r="K10" s="5" t="s">
        <v>29</v>
      </c>
      <c r="L10" s="5" t="s">
        <v>70</v>
      </c>
      <c r="M10" s="5" t="s">
        <v>24</v>
      </c>
      <c r="N10" s="5" t="s">
        <v>37</v>
      </c>
      <c r="O10" s="5" t="s">
        <v>38</v>
      </c>
      <c r="P10" s="5" t="s">
        <v>65</v>
      </c>
      <c r="Q10" s="5">
        <v>100</v>
      </c>
      <c r="R10" s="5">
        <v>7</v>
      </c>
      <c r="S10" s="4">
        <v>2</v>
      </c>
      <c r="T10" s="4">
        <v>1</v>
      </c>
      <c r="U10" s="4">
        <v>0.5</v>
      </c>
      <c r="V10" s="5">
        <f t="shared" si="0"/>
        <v>43</v>
      </c>
      <c r="W10" s="5">
        <v>25</v>
      </c>
      <c r="X10" s="5">
        <v>1</v>
      </c>
      <c r="Y10" s="5">
        <v>20</v>
      </c>
      <c r="Z10" s="5">
        <v>10</v>
      </c>
      <c r="AA10" s="5" t="s">
        <v>12</v>
      </c>
      <c r="AB10" s="5">
        <f>((Q10-(AN10*2))*1.5+(Y10*2)+((S10+U10+T10)*2)*X10)/36</f>
        <v>5.2222222222222223</v>
      </c>
      <c r="AC10" s="5">
        <f>((Q10-(AN10*2))*1.5+(Y10*2)+((S10+U10+T10)*2)*X10)/36</f>
        <v>5.2222222222222223</v>
      </c>
      <c r="AD10" s="5">
        <f>(((Q10-R10*2)*1.5)+(Z10+S10)*2)*X10/36</f>
        <v>4.25</v>
      </c>
      <c r="AE10" s="5">
        <f t="shared" si="1"/>
        <v>35</v>
      </c>
      <c r="AF10" s="5">
        <f t="shared" ref="AF10:AG12" si="2">5.22222222222222*25</f>
        <v>130.55555555555549</v>
      </c>
      <c r="AG10" s="5">
        <f t="shared" si="2"/>
        <v>130.55555555555549</v>
      </c>
      <c r="AH10" s="5">
        <f>5.22222222222222*10</f>
        <v>52.2222222222222</v>
      </c>
      <c r="AI10" s="108" t="s">
        <v>24</v>
      </c>
      <c r="AJ10" s="5">
        <v>10</v>
      </c>
      <c r="AK10" s="5">
        <v>96</v>
      </c>
      <c r="AL10" s="5">
        <v>4</v>
      </c>
      <c r="AM10" s="5">
        <v>4</v>
      </c>
      <c r="AN10" s="5">
        <v>3</v>
      </c>
      <c r="AO10" s="5" t="s">
        <v>35</v>
      </c>
      <c r="AP10" s="57" t="s">
        <v>70</v>
      </c>
      <c r="AQ10" s="57" t="s">
        <v>70</v>
      </c>
      <c r="AR10" s="5" t="s">
        <v>66</v>
      </c>
      <c r="AS10" s="46"/>
    </row>
    <row r="11" spans="1:45" s="55" customFormat="1" ht="33.75">
      <c r="A11" s="45" t="s">
        <v>71</v>
      </c>
      <c r="B11" s="5" t="s">
        <v>23</v>
      </c>
      <c r="C11" s="5" t="s">
        <v>36</v>
      </c>
      <c r="D11" s="5" t="s">
        <v>24</v>
      </c>
      <c r="E11" s="5" t="s">
        <v>45</v>
      </c>
      <c r="F11" s="5" t="s">
        <v>46</v>
      </c>
      <c r="G11" s="5" t="s">
        <v>37</v>
      </c>
      <c r="H11" s="5" t="s">
        <v>38</v>
      </c>
      <c r="I11" s="5" t="s">
        <v>37</v>
      </c>
      <c r="J11" s="5" t="s">
        <v>38</v>
      </c>
      <c r="K11" s="5" t="s">
        <v>29</v>
      </c>
      <c r="L11" s="5" t="s">
        <v>71</v>
      </c>
      <c r="M11" s="5" t="s">
        <v>24</v>
      </c>
      <c r="N11" s="5" t="s">
        <v>37</v>
      </c>
      <c r="O11" s="5" t="s">
        <v>38</v>
      </c>
      <c r="P11" s="5" t="s">
        <v>65</v>
      </c>
      <c r="Q11" s="5">
        <v>100</v>
      </c>
      <c r="R11" s="5">
        <v>7</v>
      </c>
      <c r="S11" s="4">
        <v>2</v>
      </c>
      <c r="T11" s="4">
        <v>1</v>
      </c>
      <c r="U11" s="4">
        <v>0.5</v>
      </c>
      <c r="V11" s="5">
        <f t="shared" si="0"/>
        <v>43</v>
      </c>
      <c r="W11" s="5">
        <v>25</v>
      </c>
      <c r="X11" s="5">
        <v>1</v>
      </c>
      <c r="Y11" s="5">
        <v>20</v>
      </c>
      <c r="Z11" s="5">
        <v>10</v>
      </c>
      <c r="AA11" s="5" t="s">
        <v>12</v>
      </c>
      <c r="AB11" s="5">
        <f>((Q11-(AN11*2))*1.5+(Y11*2)+((S11+U11+T11)*2)*X11)/36</f>
        <v>5.2222222222222223</v>
      </c>
      <c r="AC11" s="5">
        <f>((Q11-(AN11*2))*1.5+(Y11*2)+((S11+U11+T11)*2)*X11)/36</f>
        <v>5.2222222222222223</v>
      </c>
      <c r="AD11" s="5">
        <f>(((Q11-R11*2)*1.5)+(Z11+S11)*2)*X11/36</f>
        <v>4.25</v>
      </c>
      <c r="AE11" s="5">
        <f t="shared" si="1"/>
        <v>35</v>
      </c>
      <c r="AF11" s="5">
        <f t="shared" si="2"/>
        <v>130.55555555555549</v>
      </c>
      <c r="AG11" s="5">
        <f t="shared" si="2"/>
        <v>130.55555555555549</v>
      </c>
      <c r="AH11" s="5">
        <f>5.22222222222222*10</f>
        <v>52.2222222222222</v>
      </c>
      <c r="AI11" s="108" t="s">
        <v>24</v>
      </c>
      <c r="AJ11" s="5">
        <v>10</v>
      </c>
      <c r="AK11" s="5">
        <v>40</v>
      </c>
      <c r="AL11" s="5">
        <v>4</v>
      </c>
      <c r="AM11" s="5">
        <v>4</v>
      </c>
      <c r="AN11" s="5">
        <v>3</v>
      </c>
      <c r="AO11" s="5" t="s">
        <v>35</v>
      </c>
      <c r="AP11" s="57" t="s">
        <v>71</v>
      </c>
      <c r="AQ11" s="57" t="s">
        <v>71</v>
      </c>
      <c r="AR11" s="5" t="s">
        <v>66</v>
      </c>
      <c r="AS11" s="46"/>
    </row>
    <row r="12" spans="1:45" s="55" customFormat="1" ht="33.75">
      <c r="A12" s="45" t="s">
        <v>72</v>
      </c>
      <c r="B12" s="5" t="s">
        <v>23</v>
      </c>
      <c r="C12" s="5" t="s">
        <v>36</v>
      </c>
      <c r="D12" s="5" t="s">
        <v>24</v>
      </c>
      <c r="E12" s="5" t="s">
        <v>45</v>
      </c>
      <c r="F12" s="5" t="s">
        <v>46</v>
      </c>
      <c r="G12" s="5" t="s">
        <v>37</v>
      </c>
      <c r="H12" s="5" t="s">
        <v>38</v>
      </c>
      <c r="I12" s="5" t="s">
        <v>37</v>
      </c>
      <c r="J12" s="5" t="s">
        <v>38</v>
      </c>
      <c r="K12" s="5" t="s">
        <v>29</v>
      </c>
      <c r="L12" s="5" t="s">
        <v>72</v>
      </c>
      <c r="M12" s="5" t="s">
        <v>24</v>
      </c>
      <c r="N12" s="5" t="s">
        <v>37</v>
      </c>
      <c r="O12" s="5" t="s">
        <v>38</v>
      </c>
      <c r="P12" s="5" t="s">
        <v>65</v>
      </c>
      <c r="Q12" s="5">
        <v>100</v>
      </c>
      <c r="R12" s="5">
        <v>7</v>
      </c>
      <c r="S12" s="4">
        <v>2</v>
      </c>
      <c r="T12" s="4">
        <v>1</v>
      </c>
      <c r="U12" s="4">
        <v>0.5</v>
      </c>
      <c r="V12" s="5">
        <f t="shared" si="0"/>
        <v>43</v>
      </c>
      <c r="W12" s="5">
        <v>25</v>
      </c>
      <c r="X12" s="5">
        <v>1</v>
      </c>
      <c r="Y12" s="5">
        <v>20</v>
      </c>
      <c r="Z12" s="5">
        <v>10</v>
      </c>
      <c r="AA12" s="5" t="s">
        <v>12</v>
      </c>
      <c r="AB12" s="5">
        <f>((Q12-(AN12*2))*1.5+(Y12*2)+((S12+U12+T12)*2)*X12)/36</f>
        <v>5.2222222222222223</v>
      </c>
      <c r="AC12" s="5">
        <f>((Q12-(AN12*2))*1.5+(Y12*2)+((S12+U12+T12)*2)*X12)/36</f>
        <v>5.2222222222222223</v>
      </c>
      <c r="AD12" s="5">
        <f>(((Q12-R12*2)*1.5)+(Z12+S12)*2)*X12/36</f>
        <v>4.25</v>
      </c>
      <c r="AE12" s="5">
        <f t="shared" si="1"/>
        <v>35</v>
      </c>
      <c r="AF12" s="5">
        <f t="shared" si="2"/>
        <v>130.55555555555549</v>
      </c>
      <c r="AG12" s="5">
        <f t="shared" si="2"/>
        <v>130.55555555555549</v>
      </c>
      <c r="AH12" s="5">
        <f>5.22222222222222*10</f>
        <v>52.2222222222222</v>
      </c>
      <c r="AI12" s="108" t="s">
        <v>24</v>
      </c>
      <c r="AJ12" s="5">
        <v>10</v>
      </c>
      <c r="AK12" s="5">
        <v>40</v>
      </c>
      <c r="AL12" s="5">
        <v>4</v>
      </c>
      <c r="AM12" s="5">
        <v>4</v>
      </c>
      <c r="AN12" s="5">
        <v>3</v>
      </c>
      <c r="AO12" s="5" t="s">
        <v>35</v>
      </c>
      <c r="AP12" s="57" t="s">
        <v>72</v>
      </c>
      <c r="AQ12" s="57" t="s">
        <v>72</v>
      </c>
      <c r="AR12" s="5" t="s">
        <v>66</v>
      </c>
      <c r="AS12" s="46"/>
    </row>
    <row r="13" spans="1:45" s="55" customFormat="1" ht="33.75">
      <c r="A13" s="45" t="s">
        <v>73</v>
      </c>
      <c r="B13" s="5" t="s">
        <v>23</v>
      </c>
      <c r="C13" s="5" t="s">
        <v>36</v>
      </c>
      <c r="D13" s="5" t="s">
        <v>32</v>
      </c>
      <c r="E13" s="5"/>
      <c r="F13" s="5"/>
      <c r="G13" s="5" t="s">
        <v>37</v>
      </c>
      <c r="H13" s="5" t="s">
        <v>38</v>
      </c>
      <c r="I13" s="5"/>
      <c r="J13" s="5"/>
      <c r="K13" s="5" t="s">
        <v>29</v>
      </c>
      <c r="L13" s="5"/>
      <c r="M13" s="5" t="s">
        <v>32</v>
      </c>
      <c r="N13" s="5"/>
      <c r="O13" s="5"/>
      <c r="P13" s="5" t="s">
        <v>65</v>
      </c>
      <c r="Q13" s="5">
        <v>60</v>
      </c>
      <c r="R13" s="5">
        <v>7</v>
      </c>
      <c r="S13" s="4">
        <v>2</v>
      </c>
      <c r="T13" s="4">
        <v>1</v>
      </c>
      <c r="U13" s="4">
        <v>0.5</v>
      </c>
      <c r="V13" s="5">
        <f t="shared" si="0"/>
        <v>23</v>
      </c>
      <c r="W13" s="5">
        <v>25</v>
      </c>
      <c r="X13" s="5">
        <v>1</v>
      </c>
      <c r="Y13" s="5">
        <v>20</v>
      </c>
      <c r="Z13" s="5">
        <v>10</v>
      </c>
      <c r="AA13" s="5" t="s">
        <v>12</v>
      </c>
      <c r="AB13" s="5">
        <f>ROUND(((Q13-(AN13*2))*1.5+(Y13*2)+((S13+U13+T13)*2)*X13)/36*2,4)</f>
        <v>7.6111000000000004</v>
      </c>
      <c r="AC13" s="5"/>
      <c r="AD13" s="5"/>
      <c r="AE13" s="5">
        <f t="shared" si="1"/>
        <v>35</v>
      </c>
      <c r="AF13" s="5">
        <f>7.6111*25</f>
        <v>190.2775</v>
      </c>
      <c r="AG13" s="5"/>
      <c r="AH13" s="5"/>
      <c r="AI13" s="108" t="s">
        <v>24</v>
      </c>
      <c r="AJ13" s="5">
        <v>4</v>
      </c>
      <c r="AK13" s="5">
        <v>40</v>
      </c>
      <c r="AL13" s="5">
        <v>7</v>
      </c>
      <c r="AM13" s="5">
        <v>7</v>
      </c>
      <c r="AN13" s="5">
        <v>0</v>
      </c>
      <c r="AO13" s="5" t="s">
        <v>35</v>
      </c>
      <c r="AP13" s="57"/>
      <c r="AQ13" s="57"/>
      <c r="AR13" s="5" t="s">
        <v>66</v>
      </c>
      <c r="AS13" s="46"/>
    </row>
    <row r="14" spans="1:45" s="55" customFormat="1" ht="22.5">
      <c r="A14" s="45" t="s">
        <v>121</v>
      </c>
      <c r="B14" s="5" t="s">
        <v>122</v>
      </c>
      <c r="C14" s="5" t="s">
        <v>36</v>
      </c>
      <c r="D14" s="5" t="s">
        <v>32</v>
      </c>
      <c r="E14" s="5"/>
      <c r="F14" s="5"/>
      <c r="G14" s="5" t="s">
        <v>37</v>
      </c>
      <c r="H14" s="5" t="s">
        <v>38</v>
      </c>
      <c r="I14" s="5"/>
      <c r="J14" s="5"/>
      <c r="K14" s="5" t="s">
        <v>29</v>
      </c>
      <c r="L14" s="5"/>
      <c r="M14" s="5" t="s">
        <v>32</v>
      </c>
      <c r="N14" s="5"/>
      <c r="O14" s="5"/>
      <c r="P14" s="5" t="s">
        <v>65</v>
      </c>
      <c r="Q14" s="5">
        <v>80</v>
      </c>
      <c r="R14" s="5">
        <v>7</v>
      </c>
      <c r="S14" s="4">
        <v>2</v>
      </c>
      <c r="T14" s="4">
        <v>1</v>
      </c>
      <c r="U14" s="4">
        <v>0.5</v>
      </c>
      <c r="V14" s="5">
        <f t="shared" si="0"/>
        <v>33</v>
      </c>
      <c r="W14" s="5"/>
      <c r="X14" s="5"/>
      <c r="Y14" s="5"/>
      <c r="Z14" s="5"/>
      <c r="AA14" s="5" t="s">
        <v>12</v>
      </c>
      <c r="AB14" s="5"/>
      <c r="AC14" s="5"/>
      <c r="AD14" s="5"/>
      <c r="AE14" s="5">
        <f t="shared" si="1"/>
        <v>0</v>
      </c>
      <c r="AF14" s="5"/>
      <c r="AG14" s="5"/>
      <c r="AH14" s="5"/>
      <c r="AI14" s="108" t="s">
        <v>24</v>
      </c>
      <c r="AJ14" s="5">
        <v>10</v>
      </c>
      <c r="AK14" s="5">
        <v>100</v>
      </c>
      <c r="AL14" s="5">
        <v>4</v>
      </c>
      <c r="AM14" s="5">
        <v>4</v>
      </c>
      <c r="AN14" s="5">
        <v>3</v>
      </c>
      <c r="AO14" s="5" t="s">
        <v>123</v>
      </c>
      <c r="AP14" s="57"/>
      <c r="AQ14" s="57"/>
      <c r="AR14" s="5" t="s">
        <v>66</v>
      </c>
      <c r="AS14" s="46"/>
    </row>
    <row r="15" spans="1:45" s="55" customFormat="1" ht="33.75">
      <c r="A15" s="45" t="s">
        <v>67</v>
      </c>
      <c r="B15" s="5" t="s">
        <v>23</v>
      </c>
      <c r="C15" s="5" t="s">
        <v>36</v>
      </c>
      <c r="D15" s="5" t="s">
        <v>24</v>
      </c>
      <c r="E15" s="5" t="s">
        <v>45</v>
      </c>
      <c r="F15" s="5" t="s">
        <v>46</v>
      </c>
      <c r="G15" s="5" t="s">
        <v>37</v>
      </c>
      <c r="H15" s="5" t="s">
        <v>38</v>
      </c>
      <c r="I15" s="5" t="s">
        <v>37</v>
      </c>
      <c r="J15" s="5" t="s">
        <v>38</v>
      </c>
      <c r="K15" s="5" t="s">
        <v>29</v>
      </c>
      <c r="L15" s="5" t="s">
        <v>41</v>
      </c>
      <c r="M15" s="5" t="s">
        <v>24</v>
      </c>
      <c r="N15" s="5" t="s">
        <v>37</v>
      </c>
      <c r="O15" s="5" t="s">
        <v>38</v>
      </c>
      <c r="P15" s="5" t="s">
        <v>65</v>
      </c>
      <c r="Q15" s="5">
        <v>60</v>
      </c>
      <c r="R15" s="5">
        <v>7</v>
      </c>
      <c r="S15" s="4">
        <v>0.2</v>
      </c>
      <c r="T15" s="71">
        <v>0.1</v>
      </c>
      <c r="U15" s="4">
        <v>0.1</v>
      </c>
      <c r="V15" s="5">
        <f t="shared" ref="V15:V22" si="3">(Q15-(R15*2))/2</f>
        <v>23</v>
      </c>
      <c r="W15" s="5">
        <v>25</v>
      </c>
      <c r="X15" s="5">
        <v>1</v>
      </c>
      <c r="Y15" s="5">
        <v>20</v>
      </c>
      <c r="Z15" s="5">
        <v>10</v>
      </c>
      <c r="AA15" s="5" t="s">
        <v>12</v>
      </c>
      <c r="AB15" s="5">
        <f>ROUND(((Q15-(AN15*2))*1.5+(Y15*2)+((S15+U15+T15)*2)*X15)/36,4)</f>
        <v>3.55</v>
      </c>
      <c r="AC15" s="5">
        <f>ROUND(((Q15-(AN15*2))*1.5+(Y15*2)+((S15+U15+T15)*2)*X15)/36,4)</f>
        <v>3.55</v>
      </c>
      <c r="AD15" s="5">
        <f>(((Q15-R15*2)*1.5)+(Z15+S15)*2)*X15/36</f>
        <v>2.4833333333333334</v>
      </c>
      <c r="AE15" s="5">
        <f>ROUND(X15*35,2)</f>
        <v>35</v>
      </c>
      <c r="AF15" s="5">
        <f>3.6333*25</f>
        <v>90.83250000000001</v>
      </c>
      <c r="AG15" s="5">
        <f>3.6333*25</f>
        <v>90.83250000000001</v>
      </c>
      <c r="AH15" s="5">
        <f>3.6333*10</f>
        <v>36.332999999999998</v>
      </c>
      <c r="AI15" s="108" t="s">
        <v>24</v>
      </c>
      <c r="AJ15" s="5">
        <v>8</v>
      </c>
      <c r="AK15" s="5">
        <v>40</v>
      </c>
      <c r="AL15" s="5">
        <v>6</v>
      </c>
      <c r="AM15" s="5">
        <v>6</v>
      </c>
      <c r="AN15" s="5">
        <v>1</v>
      </c>
      <c r="AO15" s="5" t="s">
        <v>35</v>
      </c>
      <c r="AP15" s="59"/>
      <c r="AQ15" s="59"/>
      <c r="AR15" s="5" t="s">
        <v>158</v>
      </c>
      <c r="AS15" s="46"/>
    </row>
    <row r="16" spans="1:45" s="55" customFormat="1" ht="33.75">
      <c r="A16" s="45" t="s">
        <v>73</v>
      </c>
      <c r="B16" s="5" t="s">
        <v>23</v>
      </c>
      <c r="C16" s="5" t="s">
        <v>36</v>
      </c>
      <c r="D16" s="5" t="s">
        <v>24</v>
      </c>
      <c r="E16" s="5"/>
      <c r="F16" s="5"/>
      <c r="G16" s="5" t="s">
        <v>37</v>
      </c>
      <c r="H16" s="5" t="s">
        <v>38</v>
      </c>
      <c r="I16" s="5"/>
      <c r="J16" s="5"/>
      <c r="K16" s="5" t="s">
        <v>29</v>
      </c>
      <c r="L16" s="5" t="s">
        <v>41</v>
      </c>
      <c r="M16" s="5" t="s">
        <v>32</v>
      </c>
      <c r="N16" s="5"/>
      <c r="O16" s="5"/>
      <c r="P16" s="5" t="s">
        <v>65</v>
      </c>
      <c r="Q16" s="5">
        <v>60</v>
      </c>
      <c r="R16" s="5">
        <v>7</v>
      </c>
      <c r="S16" s="4">
        <v>0.2</v>
      </c>
      <c r="T16" s="4">
        <v>0.1</v>
      </c>
      <c r="U16" s="4">
        <v>0.1</v>
      </c>
      <c r="V16" s="5">
        <f t="shared" si="3"/>
        <v>23</v>
      </c>
      <c r="W16" s="5">
        <v>25</v>
      </c>
      <c r="X16" s="5">
        <v>1</v>
      </c>
      <c r="Y16" s="5">
        <v>20</v>
      </c>
      <c r="Z16" s="5">
        <v>10</v>
      </c>
      <c r="AA16" s="5" t="s">
        <v>12</v>
      </c>
      <c r="AB16" s="5">
        <f>ROUND(((Q16-(AN16*2))*1.5+(Y16*2)+((S16+U16+T16)*2)*X16)/36*2,4)</f>
        <v>7.2667000000000002</v>
      </c>
      <c r="AC16" s="5"/>
      <c r="AD16" s="56"/>
      <c r="AE16" s="5">
        <f>ROUND(X16*35,2)</f>
        <v>35</v>
      </c>
      <c r="AF16" s="5">
        <f>7.2667*25</f>
        <v>181.66750000000002</v>
      </c>
      <c r="AG16" s="5"/>
      <c r="AH16" s="5"/>
      <c r="AI16" s="109" t="s">
        <v>24</v>
      </c>
      <c r="AJ16" s="5">
        <v>4</v>
      </c>
      <c r="AK16" s="5">
        <v>40</v>
      </c>
      <c r="AL16" s="5">
        <v>7</v>
      </c>
      <c r="AM16" s="5">
        <v>7</v>
      </c>
      <c r="AN16" s="5">
        <v>0</v>
      </c>
      <c r="AO16" s="5" t="s">
        <v>35</v>
      </c>
      <c r="AP16" s="80"/>
      <c r="AQ16" s="80"/>
      <c r="AR16" s="5"/>
      <c r="AS16" s="46"/>
    </row>
    <row r="17" spans="1:45" s="55" customFormat="1" ht="33.75">
      <c r="A17" s="45" t="s">
        <v>31</v>
      </c>
      <c r="B17" s="5" t="s">
        <v>23</v>
      </c>
      <c r="C17" s="5" t="s">
        <v>36</v>
      </c>
      <c r="D17" s="5" t="s">
        <v>24</v>
      </c>
      <c r="E17" s="5"/>
      <c r="F17" s="5"/>
      <c r="G17" s="5" t="s">
        <v>52</v>
      </c>
      <c r="H17" s="5" t="s">
        <v>40</v>
      </c>
      <c r="I17" s="5"/>
      <c r="J17" s="5"/>
      <c r="K17" s="5" t="s">
        <v>29</v>
      </c>
      <c r="L17" s="5" t="s">
        <v>41</v>
      </c>
      <c r="M17" s="5" t="s">
        <v>32</v>
      </c>
      <c r="N17" s="5"/>
      <c r="O17" s="5"/>
      <c r="P17" s="5" t="s">
        <v>65</v>
      </c>
      <c r="Q17" s="5">
        <v>60</v>
      </c>
      <c r="R17" s="5">
        <v>7</v>
      </c>
      <c r="S17" s="4">
        <v>0.2</v>
      </c>
      <c r="T17" s="4">
        <v>0.1</v>
      </c>
      <c r="U17" s="4">
        <v>0.1</v>
      </c>
      <c r="V17" s="5">
        <f t="shared" si="3"/>
        <v>23</v>
      </c>
      <c r="W17" s="5">
        <v>25</v>
      </c>
      <c r="X17" s="5">
        <v>1</v>
      </c>
      <c r="Y17" s="5">
        <v>20</v>
      </c>
      <c r="Z17" s="5">
        <v>10</v>
      </c>
      <c r="AA17" s="5" t="s">
        <v>12</v>
      </c>
      <c r="AB17" s="5">
        <f>ROUND(((Q17-(AN17*2))*1.5+(Y17*2)+((S17+U17+T17)*2)*X17)/36*2,4)</f>
        <v>7.2667000000000002</v>
      </c>
      <c r="AC17" s="5"/>
      <c r="AD17" s="5"/>
      <c r="AE17" s="5">
        <f>ROUND(X17*35,2)</f>
        <v>35</v>
      </c>
      <c r="AF17" s="5">
        <f>7.2667*40</f>
        <v>290.66800000000001</v>
      </c>
      <c r="AG17" s="5"/>
      <c r="AH17" s="5"/>
      <c r="AI17" s="109" t="s">
        <v>24</v>
      </c>
      <c r="AJ17" s="5">
        <v>4</v>
      </c>
      <c r="AK17" s="5">
        <v>40</v>
      </c>
      <c r="AL17" s="5">
        <v>7</v>
      </c>
      <c r="AM17" s="5">
        <v>7</v>
      </c>
      <c r="AN17" s="5">
        <v>0</v>
      </c>
      <c r="AO17" s="5" t="s">
        <v>35</v>
      </c>
      <c r="AP17" s="80"/>
      <c r="AQ17" s="80"/>
      <c r="AR17" s="5"/>
      <c r="AS17" s="46"/>
    </row>
    <row r="18" spans="1:45" s="55" customFormat="1" ht="33.75">
      <c r="A18" s="45" t="s">
        <v>42</v>
      </c>
      <c r="B18" s="5" t="s">
        <v>23</v>
      </c>
      <c r="C18" s="5" t="s">
        <v>36</v>
      </c>
      <c r="D18" s="5" t="s">
        <v>24</v>
      </c>
      <c r="E18" s="5"/>
      <c r="F18" s="5"/>
      <c r="G18" s="5" t="s">
        <v>37</v>
      </c>
      <c r="H18" s="5" t="s">
        <v>38</v>
      </c>
      <c r="I18" s="5"/>
      <c r="J18" s="5"/>
      <c r="K18" s="5" t="s">
        <v>29</v>
      </c>
      <c r="L18" s="5"/>
      <c r="M18" s="5" t="s">
        <v>32</v>
      </c>
      <c r="N18" s="5"/>
      <c r="O18" s="5"/>
      <c r="P18" s="5" t="s">
        <v>162</v>
      </c>
      <c r="Q18" s="5">
        <v>100</v>
      </c>
      <c r="R18" s="5">
        <v>7</v>
      </c>
      <c r="S18" s="4">
        <v>0.2</v>
      </c>
      <c r="T18" s="4">
        <v>0.1</v>
      </c>
      <c r="U18" s="4">
        <v>0.1</v>
      </c>
      <c r="V18" s="5">
        <f t="shared" si="3"/>
        <v>43</v>
      </c>
      <c r="W18" s="5">
        <v>25</v>
      </c>
      <c r="X18" s="5">
        <v>1</v>
      </c>
      <c r="Y18" s="5">
        <v>20</v>
      </c>
      <c r="Z18" s="5">
        <v>10</v>
      </c>
      <c r="AA18" s="5" t="s">
        <v>12</v>
      </c>
      <c r="AB18" s="5">
        <f>((((Q18+AL18+AM18)/2)*1.5+((Y18+S18+U18+T18)*X18))/36*2)/2</f>
        <v>2.8166666666666669</v>
      </c>
      <c r="AC18" s="5"/>
      <c r="AD18" s="5"/>
      <c r="AE18" s="5">
        <f t="shared" ref="AE18:AE25" si="4">ROUND((X18*35)/2,2)</f>
        <v>17.5</v>
      </c>
      <c r="AF18" s="5">
        <f>2.73333333333333*25</f>
        <v>68.333333333333243</v>
      </c>
      <c r="AG18" s="5"/>
      <c r="AH18" s="5"/>
      <c r="AI18" s="109" t="s">
        <v>24</v>
      </c>
      <c r="AJ18" s="5">
        <v>10</v>
      </c>
      <c r="AK18" s="5">
        <v>85</v>
      </c>
      <c r="AL18" s="5">
        <v>4</v>
      </c>
      <c r="AM18" s="5">
        <v>4</v>
      </c>
      <c r="AN18" s="5">
        <v>3</v>
      </c>
      <c r="AO18" s="5" t="s">
        <v>35</v>
      </c>
      <c r="AP18" s="80"/>
      <c r="AQ18" s="80"/>
      <c r="AR18" s="5"/>
      <c r="AS18" s="46"/>
    </row>
    <row r="19" spans="1:45" s="55" customFormat="1" ht="33.75">
      <c r="A19" s="45" t="s">
        <v>42</v>
      </c>
      <c r="B19" s="5" t="s">
        <v>23</v>
      </c>
      <c r="C19" s="5" t="s">
        <v>36</v>
      </c>
      <c r="D19" s="5" t="s">
        <v>24</v>
      </c>
      <c r="E19" s="5"/>
      <c r="F19" s="5"/>
      <c r="G19" s="5" t="s">
        <v>37</v>
      </c>
      <c r="H19" s="5" t="s">
        <v>38</v>
      </c>
      <c r="I19" s="5"/>
      <c r="J19" s="5"/>
      <c r="K19" s="5" t="s">
        <v>29</v>
      </c>
      <c r="L19" s="5"/>
      <c r="M19" s="5" t="s">
        <v>32</v>
      </c>
      <c r="N19" s="5"/>
      <c r="O19" s="5"/>
      <c r="P19" s="5" t="s">
        <v>164</v>
      </c>
      <c r="Q19" s="5">
        <v>100</v>
      </c>
      <c r="R19" s="5">
        <v>7</v>
      </c>
      <c r="S19" s="4">
        <v>0.2</v>
      </c>
      <c r="T19" s="4">
        <v>0.1</v>
      </c>
      <c r="U19" s="4">
        <v>0.1</v>
      </c>
      <c r="V19" s="5">
        <f t="shared" si="3"/>
        <v>43</v>
      </c>
      <c r="W19" s="5">
        <v>25</v>
      </c>
      <c r="X19" s="5">
        <v>1</v>
      </c>
      <c r="Y19" s="5">
        <v>20</v>
      </c>
      <c r="Z19" s="5">
        <v>10</v>
      </c>
      <c r="AA19" s="5" t="s">
        <v>12</v>
      </c>
      <c r="AB19" s="5">
        <f>(((Q19+AL19+AM19)/2)*1.5+((Y19+S19+U19+T19)*X19))/36*2</f>
        <v>5.6333333333333337</v>
      </c>
      <c r="AC19" s="5"/>
      <c r="AD19" s="5"/>
      <c r="AE19" s="5">
        <f t="shared" si="4"/>
        <v>17.5</v>
      </c>
      <c r="AF19" s="5">
        <f>5.46666666666667*25</f>
        <v>136.66666666666677</v>
      </c>
      <c r="AG19" s="5"/>
      <c r="AH19" s="5"/>
      <c r="AI19" s="109" t="s">
        <v>24</v>
      </c>
      <c r="AJ19" s="5">
        <v>10</v>
      </c>
      <c r="AK19" s="5">
        <v>85</v>
      </c>
      <c r="AL19" s="5">
        <v>4</v>
      </c>
      <c r="AM19" s="5">
        <v>4</v>
      </c>
      <c r="AN19" s="5">
        <v>3</v>
      </c>
      <c r="AO19" s="5" t="s">
        <v>35</v>
      </c>
      <c r="AP19" s="80"/>
      <c r="AQ19" s="80"/>
      <c r="AR19" s="5"/>
      <c r="AS19" s="46"/>
    </row>
    <row r="20" spans="1:45" s="55" customFormat="1" ht="33.75">
      <c r="A20" s="81" t="s">
        <v>165</v>
      </c>
      <c r="B20" s="82" t="s">
        <v>23</v>
      </c>
      <c r="C20" s="82" t="s">
        <v>36</v>
      </c>
      <c r="D20" s="82" t="s">
        <v>24</v>
      </c>
      <c r="E20" s="82" t="s">
        <v>45</v>
      </c>
      <c r="F20" s="82" t="s">
        <v>51</v>
      </c>
      <c r="G20" s="82" t="s">
        <v>37</v>
      </c>
      <c r="H20" s="82" t="s">
        <v>38</v>
      </c>
      <c r="I20" s="82" t="s">
        <v>37</v>
      </c>
      <c r="J20" s="82" t="s">
        <v>38</v>
      </c>
      <c r="K20" s="82" t="s">
        <v>29</v>
      </c>
      <c r="L20" s="82"/>
      <c r="M20" s="82" t="s">
        <v>32</v>
      </c>
      <c r="N20" s="82"/>
      <c r="O20" s="82"/>
      <c r="P20" s="82" t="s">
        <v>162</v>
      </c>
      <c r="Q20" s="82">
        <v>120</v>
      </c>
      <c r="R20" s="82">
        <v>7</v>
      </c>
      <c r="S20" s="80">
        <v>0.2</v>
      </c>
      <c r="T20" s="80">
        <v>0.1</v>
      </c>
      <c r="U20" s="80">
        <v>0.1</v>
      </c>
      <c r="V20" s="82">
        <f t="shared" si="3"/>
        <v>53</v>
      </c>
      <c r="W20" s="82">
        <v>25</v>
      </c>
      <c r="X20" s="82">
        <v>1</v>
      </c>
      <c r="Y20" s="82">
        <v>20</v>
      </c>
      <c r="Z20" s="82">
        <v>10</v>
      </c>
      <c r="AA20" s="82" t="s">
        <v>12</v>
      </c>
      <c r="AB20" s="58">
        <f>(((Q20+AL20+AM20)/2)*1.5+((Y20+S20+U20+T20)*X20))/36</f>
        <v>3.1500000000000004</v>
      </c>
      <c r="AC20" s="58"/>
      <c r="AD20" s="82"/>
      <c r="AE20" s="47">
        <f t="shared" si="4"/>
        <v>17.5</v>
      </c>
      <c r="AF20" s="5">
        <f>3.15*25</f>
        <v>78.75</v>
      </c>
      <c r="AG20" s="5"/>
      <c r="AH20" s="5"/>
      <c r="AI20" s="109"/>
      <c r="AJ20" s="82"/>
      <c r="AK20" s="82"/>
      <c r="AL20" s="82"/>
      <c r="AM20" s="82">
        <v>4</v>
      </c>
      <c r="AN20" s="82">
        <v>3</v>
      </c>
      <c r="AO20" s="82" t="s">
        <v>35</v>
      </c>
      <c r="AP20" s="80"/>
      <c r="AQ20" s="80"/>
      <c r="AR20" s="82"/>
      <c r="AS20" s="83"/>
    </row>
    <row r="21" spans="1:45" s="55" customFormat="1" ht="33.75">
      <c r="A21" s="81" t="s">
        <v>166</v>
      </c>
      <c r="B21" s="82" t="s">
        <v>23</v>
      </c>
      <c r="C21" s="82" t="s">
        <v>36</v>
      </c>
      <c r="D21" s="82" t="s">
        <v>24</v>
      </c>
      <c r="E21" s="82" t="s">
        <v>45</v>
      </c>
      <c r="F21" s="82" t="s">
        <v>46</v>
      </c>
      <c r="G21" s="82" t="s">
        <v>37</v>
      </c>
      <c r="H21" s="82" t="s">
        <v>38</v>
      </c>
      <c r="I21" s="82" t="s">
        <v>27</v>
      </c>
      <c r="J21" s="82" t="s">
        <v>28</v>
      </c>
      <c r="K21" s="82" t="s">
        <v>29</v>
      </c>
      <c r="L21" s="82"/>
      <c r="M21" s="82" t="s">
        <v>32</v>
      </c>
      <c r="N21" s="82"/>
      <c r="O21" s="82"/>
      <c r="P21" s="82" t="s">
        <v>162</v>
      </c>
      <c r="Q21" s="82">
        <v>60</v>
      </c>
      <c r="R21" s="82">
        <v>7</v>
      </c>
      <c r="S21" s="80">
        <v>0.2</v>
      </c>
      <c r="T21" s="80">
        <v>0.1</v>
      </c>
      <c r="U21" s="80">
        <v>0.1</v>
      </c>
      <c r="V21" s="82">
        <f t="shared" si="3"/>
        <v>23</v>
      </c>
      <c r="W21" s="82">
        <v>25</v>
      </c>
      <c r="X21" s="82">
        <v>1</v>
      </c>
      <c r="Y21" s="82">
        <v>20</v>
      </c>
      <c r="Z21" s="82">
        <v>10</v>
      </c>
      <c r="AA21" s="82" t="s">
        <v>12</v>
      </c>
      <c r="AB21" s="82">
        <f>(((Q21+AL21+AM21)/2)*1.5+((Y21+S21+U21+T21)*X21))/36</f>
        <v>1.9625000000000001</v>
      </c>
      <c r="AC21" s="82"/>
      <c r="AD21" s="5"/>
      <c r="AE21" s="73">
        <f t="shared" si="4"/>
        <v>17.5</v>
      </c>
      <c r="AF21" s="73">
        <f>1.9625*25</f>
        <v>49.0625</v>
      </c>
      <c r="AG21" s="73"/>
      <c r="AH21" s="73"/>
      <c r="AI21" s="106"/>
      <c r="AJ21" s="82"/>
      <c r="AK21" s="82"/>
      <c r="AL21" s="82"/>
      <c r="AM21" s="82">
        <v>7</v>
      </c>
      <c r="AN21" s="82">
        <v>0</v>
      </c>
      <c r="AO21" s="82" t="s">
        <v>35</v>
      </c>
      <c r="AP21" s="80"/>
      <c r="AQ21" s="80"/>
      <c r="AR21" s="82"/>
      <c r="AS21" s="83"/>
    </row>
    <row r="22" spans="1:45" ht="33.75">
      <c r="A22" s="45" t="s">
        <v>167</v>
      </c>
      <c r="B22" s="5" t="s">
        <v>23</v>
      </c>
      <c r="C22" s="5" t="s">
        <v>36</v>
      </c>
      <c r="D22" s="5" t="s">
        <v>24</v>
      </c>
      <c r="E22" s="5"/>
      <c r="F22" s="5"/>
      <c r="G22" s="5" t="s">
        <v>37</v>
      </c>
      <c r="H22" s="5" t="s">
        <v>38</v>
      </c>
      <c r="I22" s="5"/>
      <c r="J22" s="5"/>
      <c r="K22" s="5" t="s">
        <v>29</v>
      </c>
      <c r="L22" s="5"/>
      <c r="M22" s="5" t="s">
        <v>32</v>
      </c>
      <c r="N22" s="5"/>
      <c r="O22" s="5"/>
      <c r="P22" s="5" t="s">
        <v>162</v>
      </c>
      <c r="Q22" s="5">
        <v>60</v>
      </c>
      <c r="R22" s="5">
        <v>7</v>
      </c>
      <c r="S22" s="4">
        <v>0.2</v>
      </c>
      <c r="T22" s="4">
        <v>0.1</v>
      </c>
      <c r="U22" s="4">
        <v>0.1</v>
      </c>
      <c r="V22" s="5">
        <f t="shared" si="3"/>
        <v>23</v>
      </c>
      <c r="W22" s="5">
        <v>25</v>
      </c>
      <c r="X22" s="5">
        <v>1</v>
      </c>
      <c r="Y22" s="5">
        <v>20</v>
      </c>
      <c r="Z22" s="5">
        <v>10</v>
      </c>
      <c r="AA22" s="5" t="s">
        <v>12</v>
      </c>
      <c r="AB22" s="5">
        <f>(((Q22+AL22+AM22)/2)*1.5+((Y22+S22+U22+T22)*X22))/36</f>
        <v>2.1083333333333334</v>
      </c>
      <c r="AC22" s="5"/>
      <c r="AD22" s="56"/>
      <c r="AE22" s="5">
        <f t="shared" si="4"/>
        <v>17.5</v>
      </c>
      <c r="AF22" s="5">
        <f>1.9625*25</f>
        <v>49.0625</v>
      </c>
      <c r="AG22" s="5"/>
      <c r="AH22" s="5"/>
      <c r="AI22" s="106" t="s">
        <v>24</v>
      </c>
      <c r="AJ22" s="5">
        <v>4</v>
      </c>
      <c r="AK22" s="5">
        <v>40</v>
      </c>
      <c r="AL22" s="5">
        <v>7</v>
      </c>
      <c r="AM22" s="5">
        <v>7</v>
      </c>
      <c r="AN22" s="5">
        <v>0</v>
      </c>
      <c r="AO22" s="5" t="s">
        <v>35</v>
      </c>
      <c r="AP22" s="80"/>
      <c r="AQ22" s="80"/>
      <c r="AR22" s="5"/>
      <c r="AS22" s="46"/>
    </row>
    <row r="23" spans="1:45" ht="33.75">
      <c r="A23" s="45" t="s">
        <v>171</v>
      </c>
      <c r="B23" s="5" t="s">
        <v>23</v>
      </c>
      <c r="C23" s="5" t="s">
        <v>36</v>
      </c>
      <c r="D23" s="5" t="s">
        <v>24</v>
      </c>
      <c r="E23" s="5"/>
      <c r="F23" s="5"/>
      <c r="G23" s="5" t="s">
        <v>37</v>
      </c>
      <c r="H23" s="5" t="s">
        <v>38</v>
      </c>
      <c r="I23" s="5"/>
      <c r="J23" s="5"/>
      <c r="K23" s="5" t="s">
        <v>29</v>
      </c>
      <c r="L23" s="5"/>
      <c r="M23" s="5" t="s">
        <v>32</v>
      </c>
      <c r="N23" s="5"/>
      <c r="O23" s="5"/>
      <c r="P23" s="5" t="s">
        <v>162</v>
      </c>
      <c r="Q23" s="5">
        <v>66</v>
      </c>
      <c r="R23" s="5">
        <v>7</v>
      </c>
      <c r="S23" s="4">
        <v>0.2</v>
      </c>
      <c r="T23" s="4">
        <v>0.1</v>
      </c>
      <c r="U23" s="4">
        <v>0.1</v>
      </c>
      <c r="V23" s="5">
        <f t="shared" ref="V23:V51" si="5">(Q23-(R23*2))/2</f>
        <v>26</v>
      </c>
      <c r="W23" s="5" t="s">
        <v>105</v>
      </c>
      <c r="X23" s="5">
        <v>1</v>
      </c>
      <c r="Y23" s="5">
        <v>20</v>
      </c>
      <c r="Z23" s="5">
        <v>10</v>
      </c>
      <c r="AA23" s="5" t="s">
        <v>12</v>
      </c>
      <c r="AB23" s="5">
        <f>(((((Q23+AL23+AM23)/2)*1.5+((Y23+S23+U23+T23)*X23))/36)/2)*2</f>
        <v>2.1083333333333334</v>
      </c>
      <c r="AC23" s="5"/>
      <c r="AD23" s="5"/>
      <c r="AE23" s="5">
        <f t="shared" si="4"/>
        <v>17.5</v>
      </c>
      <c r="AF23" s="5">
        <f>2.025*25</f>
        <v>50.625</v>
      </c>
      <c r="AG23" s="5"/>
      <c r="AH23" s="5"/>
      <c r="AI23" s="106" t="s">
        <v>24</v>
      </c>
      <c r="AJ23" s="5">
        <v>10</v>
      </c>
      <c r="AK23" s="5">
        <v>96</v>
      </c>
      <c r="AL23" s="5">
        <v>4</v>
      </c>
      <c r="AM23" s="5">
        <v>4</v>
      </c>
      <c r="AN23" s="5">
        <v>3</v>
      </c>
      <c r="AO23" s="5" t="s">
        <v>35</v>
      </c>
      <c r="AP23" s="80"/>
      <c r="AQ23" s="80"/>
      <c r="AR23" s="5"/>
      <c r="AS23" s="46"/>
    </row>
    <row r="24" spans="1:45" ht="33.75">
      <c r="A24" s="45" t="s">
        <v>172</v>
      </c>
      <c r="B24" s="5" t="s">
        <v>23</v>
      </c>
      <c r="C24" s="5" t="s">
        <v>36</v>
      </c>
      <c r="D24" s="5" t="s">
        <v>24</v>
      </c>
      <c r="E24" s="5"/>
      <c r="F24" s="5"/>
      <c r="G24" s="5" t="s">
        <v>37</v>
      </c>
      <c r="H24" s="5" t="s">
        <v>38</v>
      </c>
      <c r="I24" s="5"/>
      <c r="J24" s="5"/>
      <c r="K24" s="5" t="s">
        <v>29</v>
      </c>
      <c r="L24" s="5"/>
      <c r="M24" s="5" t="s">
        <v>32</v>
      </c>
      <c r="N24" s="5"/>
      <c r="O24" s="5"/>
      <c r="P24" s="5" t="s">
        <v>164</v>
      </c>
      <c r="Q24" s="5">
        <v>60</v>
      </c>
      <c r="R24" s="5">
        <v>7</v>
      </c>
      <c r="S24" s="4">
        <v>0.2</v>
      </c>
      <c r="T24" s="4">
        <v>0.1</v>
      </c>
      <c r="U24" s="4">
        <v>0.1</v>
      </c>
      <c r="V24" s="5">
        <f t="shared" si="5"/>
        <v>23</v>
      </c>
      <c r="W24" s="5" t="s">
        <v>105</v>
      </c>
      <c r="X24" s="5">
        <v>1</v>
      </c>
      <c r="Y24" s="5">
        <v>20</v>
      </c>
      <c r="Z24" s="5">
        <v>10</v>
      </c>
      <c r="AA24" s="5" t="s">
        <v>12</v>
      </c>
      <c r="AB24" s="5">
        <f>(((Q24+AL24+AM24)/2)*1.5+((Y24+S24+U24+T24)*X24))/36*2</f>
        <v>4.2166666666666668</v>
      </c>
      <c r="AC24" s="5"/>
      <c r="AD24" s="5"/>
      <c r="AE24" s="5">
        <f t="shared" si="4"/>
        <v>17.5</v>
      </c>
      <c r="AF24" s="5">
        <f>3.925*25</f>
        <v>98.125</v>
      </c>
      <c r="AG24" s="5"/>
      <c r="AH24" s="5"/>
      <c r="AI24" s="106" t="s">
        <v>24</v>
      </c>
      <c r="AJ24" s="5">
        <v>4</v>
      </c>
      <c r="AK24" s="5">
        <v>40</v>
      </c>
      <c r="AL24" s="5">
        <v>7</v>
      </c>
      <c r="AM24" s="5">
        <v>7</v>
      </c>
      <c r="AN24" s="5">
        <v>0</v>
      </c>
      <c r="AO24" s="5" t="s">
        <v>35</v>
      </c>
      <c r="AP24" s="80"/>
      <c r="AQ24" s="80"/>
      <c r="AR24" s="5"/>
      <c r="AS24" s="46"/>
    </row>
    <row r="25" spans="1:45" ht="33.75">
      <c r="A25" s="45" t="s">
        <v>172</v>
      </c>
      <c r="B25" s="5" t="s">
        <v>23</v>
      </c>
      <c r="C25" s="5" t="s">
        <v>36</v>
      </c>
      <c r="D25" s="5" t="s">
        <v>24</v>
      </c>
      <c r="E25" s="5"/>
      <c r="F25" s="5"/>
      <c r="G25" s="5" t="s">
        <v>37</v>
      </c>
      <c r="H25" s="5" t="s">
        <v>38</v>
      </c>
      <c r="I25" s="5"/>
      <c r="J25" s="5"/>
      <c r="K25" s="5" t="s">
        <v>29</v>
      </c>
      <c r="L25" s="5"/>
      <c r="M25" s="5" t="s">
        <v>32</v>
      </c>
      <c r="N25" s="5"/>
      <c r="O25" s="5"/>
      <c r="P25" s="5" t="s">
        <v>163</v>
      </c>
      <c r="Q25" s="5">
        <v>60</v>
      </c>
      <c r="R25" s="5">
        <v>7</v>
      </c>
      <c r="S25" s="4">
        <v>0.2</v>
      </c>
      <c r="T25" s="4">
        <v>0.1</v>
      </c>
      <c r="U25" s="4">
        <v>0.1</v>
      </c>
      <c r="V25" s="5">
        <f t="shared" si="5"/>
        <v>23</v>
      </c>
      <c r="W25" s="5" t="s">
        <v>105</v>
      </c>
      <c r="X25" s="5">
        <v>1</v>
      </c>
      <c r="Y25" s="5">
        <v>20</v>
      </c>
      <c r="Z25" s="5">
        <v>10</v>
      </c>
      <c r="AA25" s="5" t="s">
        <v>12</v>
      </c>
      <c r="AB25" s="5">
        <f>(((((Q25+AL25+AM25)/2)*1.5+((Y25+S25+U25+T25)*X25))/36)/2)*2</f>
        <v>2.1083333333333334</v>
      </c>
      <c r="AC25" s="5"/>
      <c r="AD25" s="5"/>
      <c r="AE25" s="5">
        <f t="shared" si="4"/>
        <v>17.5</v>
      </c>
      <c r="AF25" s="5">
        <f>1.9625*25</f>
        <v>49.0625</v>
      </c>
      <c r="AG25" s="5"/>
      <c r="AH25" s="5"/>
      <c r="AI25" s="106" t="s">
        <v>24</v>
      </c>
      <c r="AJ25" s="5">
        <v>4</v>
      </c>
      <c r="AK25" s="5">
        <v>40</v>
      </c>
      <c r="AL25" s="5">
        <v>7</v>
      </c>
      <c r="AM25" s="5">
        <v>7</v>
      </c>
      <c r="AN25" s="5">
        <v>0</v>
      </c>
      <c r="AO25" s="5" t="s">
        <v>35</v>
      </c>
      <c r="AP25" s="80"/>
      <c r="AQ25" s="80"/>
      <c r="AR25" s="5"/>
      <c r="AS25" s="46"/>
    </row>
    <row r="26" spans="1:45" ht="33.75">
      <c r="A26" s="81" t="s">
        <v>172</v>
      </c>
      <c r="B26" s="82" t="s">
        <v>23</v>
      </c>
      <c r="C26" s="82" t="s">
        <v>36</v>
      </c>
      <c r="D26" s="82" t="s">
        <v>24</v>
      </c>
      <c r="E26" s="82"/>
      <c r="F26" s="82"/>
      <c r="G26" s="82" t="s">
        <v>37</v>
      </c>
      <c r="H26" s="82" t="s">
        <v>38</v>
      </c>
      <c r="I26" s="82"/>
      <c r="J26" s="82"/>
      <c r="K26" s="82" t="s">
        <v>29</v>
      </c>
      <c r="L26" s="82"/>
      <c r="M26" s="82" t="s">
        <v>32</v>
      </c>
      <c r="N26" s="82"/>
      <c r="O26" s="82"/>
      <c r="P26" s="82" t="s">
        <v>162</v>
      </c>
      <c r="Q26" s="82">
        <v>60</v>
      </c>
      <c r="R26" s="82">
        <v>7</v>
      </c>
      <c r="S26" s="80">
        <v>0.2</v>
      </c>
      <c r="T26" s="80">
        <v>0.1</v>
      </c>
      <c r="U26" s="80">
        <v>0.1</v>
      </c>
      <c r="V26" s="82">
        <f t="shared" si="5"/>
        <v>23</v>
      </c>
      <c r="W26" s="82" t="s">
        <v>105</v>
      </c>
      <c r="X26" s="82">
        <v>1</v>
      </c>
      <c r="Y26" s="82">
        <v>20</v>
      </c>
      <c r="Z26" s="82">
        <v>10</v>
      </c>
      <c r="AA26" s="82" t="s">
        <v>12</v>
      </c>
      <c r="AB26" s="58">
        <f>(((((Q26+AL26+AM26)/2)*1.5+((Y26+S26+U26+T26)*X26))/36)/2)*2</f>
        <v>2.1083333333333334</v>
      </c>
      <c r="AC26" s="58"/>
      <c r="AD26" s="82"/>
      <c r="AE26" s="47">
        <f t="shared" ref="AE26:AE50" si="6">ROUND((X26*35)/2,2)</f>
        <v>17.5</v>
      </c>
      <c r="AF26" s="5">
        <f>2.10833333333333*25</f>
        <v>52.708333333333243</v>
      </c>
      <c r="AG26" s="5"/>
      <c r="AH26" s="5"/>
      <c r="AI26" s="106" t="s">
        <v>24</v>
      </c>
      <c r="AJ26" s="82">
        <v>4</v>
      </c>
      <c r="AK26" s="82">
        <v>40</v>
      </c>
      <c r="AL26" s="82">
        <v>7</v>
      </c>
      <c r="AM26" s="82">
        <v>7</v>
      </c>
      <c r="AN26" s="82">
        <v>0</v>
      </c>
      <c r="AO26" s="82" t="s">
        <v>35</v>
      </c>
      <c r="AP26" s="80"/>
      <c r="AQ26" s="80"/>
      <c r="AR26" s="82"/>
      <c r="AS26" s="83"/>
    </row>
    <row r="27" spans="1:45" ht="33.75">
      <c r="A27" s="81" t="s">
        <v>172</v>
      </c>
      <c r="B27" s="82" t="s">
        <v>23</v>
      </c>
      <c r="C27" s="82" t="s">
        <v>36</v>
      </c>
      <c r="D27" s="82" t="s">
        <v>24</v>
      </c>
      <c r="E27" s="82" t="s">
        <v>45</v>
      </c>
      <c r="F27" s="82" t="s">
        <v>51</v>
      </c>
      <c r="G27" s="82" t="s">
        <v>37</v>
      </c>
      <c r="H27" s="82" t="s">
        <v>38</v>
      </c>
      <c r="I27" s="82" t="s">
        <v>37</v>
      </c>
      <c r="J27" s="82" t="s">
        <v>38</v>
      </c>
      <c r="K27" s="82" t="s">
        <v>29</v>
      </c>
      <c r="L27" s="82"/>
      <c r="M27" s="82" t="s">
        <v>32</v>
      </c>
      <c r="N27" s="82"/>
      <c r="O27" s="82"/>
      <c r="P27" s="82" t="s">
        <v>162</v>
      </c>
      <c r="Q27" s="82">
        <v>60</v>
      </c>
      <c r="R27" s="82">
        <v>7</v>
      </c>
      <c r="S27" s="80">
        <v>0.2</v>
      </c>
      <c r="T27" s="80">
        <v>0.1</v>
      </c>
      <c r="U27" s="80">
        <v>0.1</v>
      </c>
      <c r="V27" s="82">
        <f t="shared" si="5"/>
        <v>23</v>
      </c>
      <c r="W27" s="82" t="s">
        <v>105</v>
      </c>
      <c r="X27" s="82">
        <v>1</v>
      </c>
      <c r="Y27" s="82">
        <v>20</v>
      </c>
      <c r="Z27" s="82">
        <v>10</v>
      </c>
      <c r="AA27" s="82" t="s">
        <v>12</v>
      </c>
      <c r="AB27" s="82">
        <f>(((((Q27+AL27+AM27)/2)*1.5+((Y27+S27+U27+T27)*X27))/36)/2)*2</f>
        <v>2.1083333333333334</v>
      </c>
      <c r="AC27" s="82"/>
      <c r="AD27" s="5"/>
      <c r="AE27" s="73">
        <f t="shared" si="6"/>
        <v>17.5</v>
      </c>
      <c r="AF27" s="73">
        <f>2.10833333333333*25</f>
        <v>52.708333333333243</v>
      </c>
      <c r="AG27" s="73"/>
      <c r="AH27" s="73"/>
      <c r="AI27" s="106" t="s">
        <v>24</v>
      </c>
      <c r="AJ27" s="82">
        <v>4</v>
      </c>
      <c r="AK27" s="82">
        <v>40</v>
      </c>
      <c r="AL27" s="82">
        <v>7</v>
      </c>
      <c r="AM27" s="82">
        <v>7</v>
      </c>
      <c r="AN27" s="82">
        <v>0</v>
      </c>
      <c r="AO27" s="82" t="s">
        <v>35</v>
      </c>
      <c r="AP27" s="80"/>
      <c r="AQ27" s="80"/>
      <c r="AR27" s="82"/>
      <c r="AS27" s="83"/>
    </row>
    <row r="28" spans="1:45" ht="33.75">
      <c r="A28" s="105" t="s">
        <v>172</v>
      </c>
      <c r="B28" s="104" t="s">
        <v>23</v>
      </c>
      <c r="C28" s="104" t="s">
        <v>36</v>
      </c>
      <c r="D28" s="104" t="s">
        <v>24</v>
      </c>
      <c r="E28" s="104"/>
      <c r="F28" s="104"/>
      <c r="G28" s="104" t="s">
        <v>37</v>
      </c>
      <c r="H28" s="104" t="s">
        <v>38</v>
      </c>
      <c r="I28" s="104"/>
      <c r="J28" s="104"/>
      <c r="K28" s="104" t="s">
        <v>29</v>
      </c>
      <c r="L28" s="104"/>
      <c r="M28" s="104" t="s">
        <v>32</v>
      </c>
      <c r="N28" s="104"/>
      <c r="O28" s="104"/>
      <c r="P28" s="104" t="s">
        <v>162</v>
      </c>
      <c r="Q28" s="104">
        <v>60</v>
      </c>
      <c r="R28" s="104">
        <v>7</v>
      </c>
      <c r="S28" s="104">
        <v>0.2</v>
      </c>
      <c r="T28" s="104">
        <v>0.1</v>
      </c>
      <c r="U28" s="104">
        <v>0.1</v>
      </c>
      <c r="V28" s="104">
        <f t="shared" si="5"/>
        <v>23</v>
      </c>
      <c r="W28" s="104" t="s">
        <v>105</v>
      </c>
      <c r="X28" s="104">
        <v>1</v>
      </c>
      <c r="Y28" s="104">
        <v>20</v>
      </c>
      <c r="Z28" s="104">
        <v>10</v>
      </c>
      <c r="AA28" s="104" t="s">
        <v>12</v>
      </c>
      <c r="AB28" s="104">
        <f>(((((Q28+AL28+AM28)/2)*1.5+((Y28+S28+U28+T28)*X28))/36)/2)*2</f>
        <v>2.1083333333333334</v>
      </c>
      <c r="AC28" s="104"/>
      <c r="AD28" s="104"/>
      <c r="AE28" s="104">
        <f t="shared" si="6"/>
        <v>17.5</v>
      </c>
      <c r="AF28" s="104">
        <f>2.10833333333333*25</f>
        <v>52.708333333333243</v>
      </c>
      <c r="AG28" s="104"/>
      <c r="AH28" s="104"/>
      <c r="AI28" s="106" t="s">
        <v>24</v>
      </c>
      <c r="AJ28" s="104">
        <v>4</v>
      </c>
      <c r="AK28" s="104">
        <v>40</v>
      </c>
      <c r="AL28" s="104">
        <v>7</v>
      </c>
      <c r="AM28" s="104">
        <v>7</v>
      </c>
      <c r="AN28" s="104">
        <v>0</v>
      </c>
      <c r="AO28" s="104" t="s">
        <v>35</v>
      </c>
      <c r="AP28" s="104"/>
      <c r="AQ28" s="104"/>
      <c r="AR28" s="104"/>
      <c r="AS28" s="110"/>
    </row>
    <row r="29" spans="1:45" ht="33.75">
      <c r="A29" s="105" t="s">
        <v>172</v>
      </c>
      <c r="B29" s="104" t="s">
        <v>23</v>
      </c>
      <c r="C29" s="104" t="s">
        <v>36</v>
      </c>
      <c r="D29" s="104" t="s">
        <v>24</v>
      </c>
      <c r="E29" s="104"/>
      <c r="F29" s="104"/>
      <c r="G29" s="104" t="s">
        <v>37</v>
      </c>
      <c r="H29" s="104" t="s">
        <v>38</v>
      </c>
      <c r="I29" s="104"/>
      <c r="J29" s="104"/>
      <c r="K29" s="104" t="s">
        <v>29</v>
      </c>
      <c r="L29" s="104"/>
      <c r="M29" s="104" t="s">
        <v>32</v>
      </c>
      <c r="N29" s="104"/>
      <c r="O29" s="104"/>
      <c r="P29" s="104" t="s">
        <v>164</v>
      </c>
      <c r="Q29" s="104">
        <v>60</v>
      </c>
      <c r="R29" s="104">
        <v>7</v>
      </c>
      <c r="S29" s="104">
        <v>0.2</v>
      </c>
      <c r="T29" s="104">
        <v>0.1</v>
      </c>
      <c r="U29" s="104">
        <v>0.1</v>
      </c>
      <c r="V29" s="104">
        <f t="shared" si="5"/>
        <v>23</v>
      </c>
      <c r="W29" s="104" t="s">
        <v>105</v>
      </c>
      <c r="X29" s="104">
        <v>1</v>
      </c>
      <c r="Y29" s="104">
        <v>20</v>
      </c>
      <c r="Z29" s="104">
        <v>10</v>
      </c>
      <c r="AA29" s="104" t="s">
        <v>12</v>
      </c>
      <c r="AB29" s="104">
        <f>(((Q29+AL29+AM29)/2)*1.5+((Y29+S29+U29+T29)*X29))/36*2</f>
        <v>4.2166666666666668</v>
      </c>
      <c r="AC29" s="104"/>
      <c r="AD29" s="104"/>
      <c r="AE29" s="104">
        <f t="shared" si="6"/>
        <v>17.5</v>
      </c>
      <c r="AF29" s="104">
        <f>4.21666666666667*25</f>
        <v>105.41666666666676</v>
      </c>
      <c r="AG29" s="104"/>
      <c r="AH29" s="104"/>
      <c r="AI29" s="106" t="s">
        <v>24</v>
      </c>
      <c r="AJ29" s="104">
        <v>4</v>
      </c>
      <c r="AK29" s="104">
        <v>40</v>
      </c>
      <c r="AL29" s="104">
        <v>7</v>
      </c>
      <c r="AM29" s="104">
        <v>7</v>
      </c>
      <c r="AN29" s="104">
        <v>0</v>
      </c>
      <c r="AO29" s="104" t="s">
        <v>35</v>
      </c>
      <c r="AP29" s="104"/>
      <c r="AQ29" s="104"/>
      <c r="AR29" s="104"/>
      <c r="AS29" s="110"/>
    </row>
    <row r="30" spans="1:45" ht="33.75">
      <c r="A30" s="105" t="s">
        <v>172</v>
      </c>
      <c r="B30" s="104" t="s">
        <v>23</v>
      </c>
      <c r="C30" s="104" t="s">
        <v>36</v>
      </c>
      <c r="D30" s="104" t="s">
        <v>24</v>
      </c>
      <c r="E30" s="104" t="s">
        <v>45</v>
      </c>
      <c r="F30" s="104" t="s">
        <v>46</v>
      </c>
      <c r="G30" s="104" t="s">
        <v>37</v>
      </c>
      <c r="H30" s="104" t="s">
        <v>38</v>
      </c>
      <c r="I30" s="104" t="s">
        <v>37</v>
      </c>
      <c r="J30" s="104" t="s">
        <v>38</v>
      </c>
      <c r="K30" s="104" t="s">
        <v>29</v>
      </c>
      <c r="L30" s="104"/>
      <c r="M30" s="104" t="s">
        <v>32</v>
      </c>
      <c r="N30" s="104"/>
      <c r="O30" s="104"/>
      <c r="P30" s="104" t="s">
        <v>162</v>
      </c>
      <c r="Q30" s="104">
        <v>60</v>
      </c>
      <c r="R30" s="104">
        <v>7</v>
      </c>
      <c r="S30" s="104">
        <v>0.2</v>
      </c>
      <c r="T30" s="104">
        <v>0.1</v>
      </c>
      <c r="U30" s="104">
        <v>0.1</v>
      </c>
      <c r="V30" s="104">
        <f t="shared" si="5"/>
        <v>23</v>
      </c>
      <c r="W30" s="104" t="s">
        <v>105</v>
      </c>
      <c r="X30" s="104">
        <v>1</v>
      </c>
      <c r="Y30" s="104">
        <v>20</v>
      </c>
      <c r="Z30" s="104">
        <v>10</v>
      </c>
      <c r="AA30" s="104" t="s">
        <v>12</v>
      </c>
      <c r="AB30" s="104">
        <f>(((((Q30+AL30+AM30)/2)*1.5+((Y30+S30+U30+T30)*X30))/36)/2)*2</f>
        <v>2.1083333333333334</v>
      </c>
      <c r="AC30" s="104">
        <f>(((((Q30+AL30+AM30)/2)*1.5+((Y30+S30+U30+T30)*X30))/36)/2)*2</f>
        <v>2.1083333333333334</v>
      </c>
      <c r="AD30" s="104"/>
      <c r="AE30" s="104">
        <f t="shared" si="6"/>
        <v>17.5</v>
      </c>
      <c r="AF30" s="104">
        <f>2.10833333333333*25</f>
        <v>52.708333333333243</v>
      </c>
      <c r="AG30" s="104">
        <f>2.10833333333333*25</f>
        <v>52.708333333333243</v>
      </c>
      <c r="AH30" s="104"/>
      <c r="AI30" s="106" t="s">
        <v>24</v>
      </c>
      <c r="AJ30" s="104">
        <v>4</v>
      </c>
      <c r="AK30" s="104">
        <v>40</v>
      </c>
      <c r="AL30" s="104">
        <v>7</v>
      </c>
      <c r="AM30" s="104">
        <v>7</v>
      </c>
      <c r="AN30" s="104">
        <v>0</v>
      </c>
      <c r="AO30" s="104" t="s">
        <v>35</v>
      </c>
      <c r="AP30" s="104"/>
      <c r="AQ30" s="104"/>
      <c r="AR30" s="104" t="s">
        <v>158</v>
      </c>
      <c r="AS30" s="110"/>
    </row>
    <row r="31" spans="1:45" ht="33.75">
      <c r="A31" s="105" t="s">
        <v>172</v>
      </c>
      <c r="B31" s="104" t="s">
        <v>23</v>
      </c>
      <c r="C31" s="104" t="s">
        <v>36</v>
      </c>
      <c r="D31" s="104" t="s">
        <v>24</v>
      </c>
      <c r="E31" s="104" t="s">
        <v>45</v>
      </c>
      <c r="F31" s="104" t="s">
        <v>51</v>
      </c>
      <c r="G31" s="104" t="s">
        <v>37</v>
      </c>
      <c r="H31" s="104" t="s">
        <v>38</v>
      </c>
      <c r="I31" s="104" t="s">
        <v>37</v>
      </c>
      <c r="J31" s="104" t="s">
        <v>38</v>
      </c>
      <c r="K31" s="104" t="s">
        <v>29</v>
      </c>
      <c r="L31" s="104"/>
      <c r="M31" s="104" t="s">
        <v>32</v>
      </c>
      <c r="N31" s="104"/>
      <c r="O31" s="104"/>
      <c r="P31" s="104" t="s">
        <v>162</v>
      </c>
      <c r="Q31" s="104">
        <v>60</v>
      </c>
      <c r="R31" s="104">
        <v>7</v>
      </c>
      <c r="S31" s="104">
        <v>0.2</v>
      </c>
      <c r="T31" s="104">
        <v>0.1</v>
      </c>
      <c r="U31" s="104">
        <v>0.1</v>
      </c>
      <c r="V31" s="104">
        <f t="shared" si="5"/>
        <v>23</v>
      </c>
      <c r="W31" s="104" t="s">
        <v>105</v>
      </c>
      <c r="X31" s="104">
        <v>1</v>
      </c>
      <c r="Y31" s="104">
        <v>20</v>
      </c>
      <c r="Z31" s="104">
        <v>10</v>
      </c>
      <c r="AA31" s="104" t="s">
        <v>12</v>
      </c>
      <c r="AB31" s="104">
        <f>((((((Q31+AL31+AM31)/2)*1.5+((Y31+S31+U31+T31)*X31))/36)/2)/2)*2</f>
        <v>1.0541666666666667</v>
      </c>
      <c r="AC31" s="104">
        <f>((((((Q31+AL31+AM31)/2)*1.5+((Y31+S31+U31+T31)*X31))/36)/2)/2)*2</f>
        <v>1.0541666666666667</v>
      </c>
      <c r="AD31" s="104"/>
      <c r="AE31" s="104">
        <f t="shared" si="6"/>
        <v>17.5</v>
      </c>
      <c r="AF31" s="104">
        <f>1.05416666666667*25</f>
        <v>26.35416666666675</v>
      </c>
      <c r="AG31" s="104">
        <f>1.05416666666667*25</f>
        <v>26.35416666666675</v>
      </c>
      <c r="AH31" s="104"/>
      <c r="AI31" s="106" t="s">
        <v>24</v>
      </c>
      <c r="AJ31" s="104">
        <v>4</v>
      </c>
      <c r="AK31" s="104">
        <v>40</v>
      </c>
      <c r="AL31" s="104">
        <v>7</v>
      </c>
      <c r="AM31" s="104">
        <v>7</v>
      </c>
      <c r="AN31" s="104">
        <v>0</v>
      </c>
      <c r="AO31" s="104" t="s">
        <v>35</v>
      </c>
      <c r="AP31" s="104"/>
      <c r="AQ31" s="104"/>
      <c r="AR31" s="104" t="s">
        <v>158</v>
      </c>
      <c r="AS31" s="110"/>
    </row>
    <row r="32" spans="1:45" ht="33.75">
      <c r="A32" s="105" t="s">
        <v>172</v>
      </c>
      <c r="B32" s="104" t="s">
        <v>23</v>
      </c>
      <c r="C32" s="104" t="s">
        <v>36</v>
      </c>
      <c r="D32" s="104" t="s">
        <v>24</v>
      </c>
      <c r="E32" s="104" t="s">
        <v>45</v>
      </c>
      <c r="F32" s="104" t="s">
        <v>51</v>
      </c>
      <c r="G32" s="104" t="s">
        <v>37</v>
      </c>
      <c r="H32" s="104" t="s">
        <v>38</v>
      </c>
      <c r="I32" s="104" t="s">
        <v>37</v>
      </c>
      <c r="J32" s="104" t="s">
        <v>38</v>
      </c>
      <c r="K32" s="104" t="s">
        <v>29</v>
      </c>
      <c r="L32" s="104"/>
      <c r="M32" s="104" t="s">
        <v>32</v>
      </c>
      <c r="N32" s="104"/>
      <c r="O32" s="104"/>
      <c r="P32" s="104" t="s">
        <v>164</v>
      </c>
      <c r="Q32" s="104">
        <v>60</v>
      </c>
      <c r="R32" s="104">
        <v>7</v>
      </c>
      <c r="S32" s="104">
        <v>0.2</v>
      </c>
      <c r="T32" s="104">
        <v>0.1</v>
      </c>
      <c r="U32" s="104">
        <v>0.1</v>
      </c>
      <c r="V32" s="104">
        <f t="shared" si="5"/>
        <v>23</v>
      </c>
      <c r="W32" s="104" t="s">
        <v>105</v>
      </c>
      <c r="X32" s="104">
        <v>1</v>
      </c>
      <c r="Y32" s="104">
        <v>20</v>
      </c>
      <c r="Z32" s="104">
        <v>10</v>
      </c>
      <c r="AA32" s="104" t="s">
        <v>12</v>
      </c>
      <c r="AB32" s="104">
        <f>(((((Q32+AL32+AM32)/2)*1.5+((Y32+S32+U32+T32)*X32))/36)/2)*2</f>
        <v>2.1083333333333334</v>
      </c>
      <c r="AC32" s="104">
        <f>(((((Q32+AL32+AM32)/2)*1.5+((Y32+S32+U32+T32)*X32))/36)/2)*2</f>
        <v>2.1083333333333334</v>
      </c>
      <c r="AD32" s="104"/>
      <c r="AE32" s="104">
        <f t="shared" si="6"/>
        <v>17.5</v>
      </c>
      <c r="AF32" s="104">
        <f>2.10833333333333*25</f>
        <v>52.708333333333243</v>
      </c>
      <c r="AG32" s="104">
        <f>2.10833333333333*25</f>
        <v>52.708333333333243</v>
      </c>
      <c r="AH32" s="104"/>
      <c r="AI32" s="106" t="s">
        <v>24</v>
      </c>
      <c r="AJ32" s="104">
        <v>4</v>
      </c>
      <c r="AK32" s="104">
        <v>40</v>
      </c>
      <c r="AL32" s="104">
        <v>7</v>
      </c>
      <c r="AM32" s="104">
        <v>7</v>
      </c>
      <c r="AN32" s="104">
        <v>0</v>
      </c>
      <c r="AO32" s="104" t="s">
        <v>35</v>
      </c>
      <c r="AP32" s="104"/>
      <c r="AQ32" s="104"/>
      <c r="AR32" s="104" t="s">
        <v>158</v>
      </c>
      <c r="AS32" s="110"/>
    </row>
    <row r="33" spans="1:45" ht="33.75">
      <c r="A33" s="105" t="s">
        <v>172</v>
      </c>
      <c r="B33" s="104" t="s">
        <v>23</v>
      </c>
      <c r="C33" s="104" t="s">
        <v>36</v>
      </c>
      <c r="D33" s="104" t="s">
        <v>24</v>
      </c>
      <c r="E33" s="104" t="s">
        <v>45</v>
      </c>
      <c r="F33" s="104" t="s">
        <v>46</v>
      </c>
      <c r="G33" s="104" t="s">
        <v>37</v>
      </c>
      <c r="H33" s="104" t="s">
        <v>38</v>
      </c>
      <c r="I33" s="104" t="s">
        <v>37</v>
      </c>
      <c r="J33" s="104" t="s">
        <v>38</v>
      </c>
      <c r="K33" s="104" t="s">
        <v>29</v>
      </c>
      <c r="L33" s="104"/>
      <c r="M33" s="104" t="s">
        <v>32</v>
      </c>
      <c r="N33" s="104"/>
      <c r="O33" s="104"/>
      <c r="P33" s="104" t="s">
        <v>164</v>
      </c>
      <c r="Q33" s="104">
        <v>60</v>
      </c>
      <c r="R33" s="104">
        <v>7</v>
      </c>
      <c r="S33" s="104">
        <v>0.2</v>
      </c>
      <c r="T33" s="104">
        <v>0.1</v>
      </c>
      <c r="U33" s="104">
        <v>0.1</v>
      </c>
      <c r="V33" s="104">
        <f t="shared" si="5"/>
        <v>23</v>
      </c>
      <c r="W33" s="104" t="s">
        <v>105</v>
      </c>
      <c r="X33" s="104">
        <v>1</v>
      </c>
      <c r="Y33" s="104">
        <v>20</v>
      </c>
      <c r="Z33" s="104">
        <v>10</v>
      </c>
      <c r="AA33" s="104" t="s">
        <v>12</v>
      </c>
      <c r="AB33" s="104">
        <f>((((Q33+AL33+AM33)/2)*1.5+((Y33+S33+U33+T33)*X33))/36)*2</f>
        <v>4.2166666666666668</v>
      </c>
      <c r="AC33" s="104">
        <f>((((Q33+AL33+AM33)/2)*1.5+((Y33+S33+U33+T33)*X33))/36)*2</f>
        <v>4.2166666666666668</v>
      </c>
      <c r="AD33" s="104"/>
      <c r="AE33" s="104">
        <f t="shared" si="6"/>
        <v>17.5</v>
      </c>
      <c r="AF33" s="104">
        <f>4.21666666666667*25</f>
        <v>105.41666666666676</v>
      </c>
      <c r="AG33" s="104">
        <f>4.21666666666667*25</f>
        <v>105.41666666666676</v>
      </c>
      <c r="AH33" s="104"/>
      <c r="AI33" s="106" t="s">
        <v>24</v>
      </c>
      <c r="AJ33" s="104">
        <v>4</v>
      </c>
      <c r="AK33" s="104">
        <v>40</v>
      </c>
      <c r="AL33" s="104">
        <v>7</v>
      </c>
      <c r="AM33" s="104">
        <v>7</v>
      </c>
      <c r="AN33" s="104">
        <v>0</v>
      </c>
      <c r="AO33" s="104" t="s">
        <v>35</v>
      </c>
      <c r="AP33" s="104"/>
      <c r="AQ33" s="104"/>
      <c r="AR33" s="104" t="s">
        <v>158</v>
      </c>
      <c r="AS33" s="110"/>
    </row>
    <row r="34" spans="1:45" ht="33.75">
      <c r="A34" s="105" t="s">
        <v>172</v>
      </c>
      <c r="B34" s="104" t="s">
        <v>23</v>
      </c>
      <c r="C34" s="104" t="s">
        <v>36</v>
      </c>
      <c r="D34" s="104" t="s">
        <v>24</v>
      </c>
      <c r="E34" s="104"/>
      <c r="F34" s="104"/>
      <c r="G34" s="104" t="s">
        <v>37</v>
      </c>
      <c r="H34" s="104" t="s">
        <v>38</v>
      </c>
      <c r="I34" s="104"/>
      <c r="J34" s="104"/>
      <c r="K34" s="104" t="s">
        <v>52</v>
      </c>
      <c r="L34" s="104"/>
      <c r="M34" s="104" t="s">
        <v>32</v>
      </c>
      <c r="N34" s="104"/>
      <c r="O34" s="104"/>
      <c r="P34" s="104" t="s">
        <v>164</v>
      </c>
      <c r="Q34" s="104">
        <v>60</v>
      </c>
      <c r="R34" s="104">
        <v>7</v>
      </c>
      <c r="S34" s="104">
        <v>0.2</v>
      </c>
      <c r="T34" s="104">
        <v>0.1</v>
      </c>
      <c r="U34" s="104">
        <v>0.1</v>
      </c>
      <c r="V34" s="104">
        <f t="shared" si="5"/>
        <v>23</v>
      </c>
      <c r="W34" s="104" t="s">
        <v>105</v>
      </c>
      <c r="X34" s="104">
        <v>1</v>
      </c>
      <c r="Y34" s="104">
        <v>20</v>
      </c>
      <c r="Z34" s="104">
        <v>10</v>
      </c>
      <c r="AA34" s="104" t="s">
        <v>12</v>
      </c>
      <c r="AB34" s="104">
        <f>(((Q34+AL34+AM34)/2)*1.5+((Y34+S34+U34+T34)*X34))/36</f>
        <v>2.1083333333333334</v>
      </c>
      <c r="AC34" s="104"/>
      <c r="AD34" s="104"/>
      <c r="AE34" s="104">
        <f t="shared" si="6"/>
        <v>17.5</v>
      </c>
      <c r="AF34" s="104">
        <f>2.10833333333333*25</f>
        <v>52.708333333333243</v>
      </c>
      <c r="AG34" s="104"/>
      <c r="AH34" s="104"/>
      <c r="AI34" s="106" t="s">
        <v>24</v>
      </c>
      <c r="AJ34" s="104">
        <v>4</v>
      </c>
      <c r="AK34" s="104">
        <v>40</v>
      </c>
      <c r="AL34" s="104">
        <v>7</v>
      </c>
      <c r="AM34" s="104">
        <v>7</v>
      </c>
      <c r="AN34" s="104">
        <v>0</v>
      </c>
      <c r="AO34" s="104" t="s">
        <v>35</v>
      </c>
      <c r="AP34" s="104"/>
      <c r="AQ34" s="104"/>
      <c r="AR34" s="104"/>
      <c r="AS34" s="110"/>
    </row>
    <row r="35" spans="1:45" ht="33.75">
      <c r="A35" s="105" t="s">
        <v>172</v>
      </c>
      <c r="B35" s="104" t="s">
        <v>23</v>
      </c>
      <c r="C35" s="104" t="s">
        <v>36</v>
      </c>
      <c r="D35" s="104" t="s">
        <v>24</v>
      </c>
      <c r="E35" s="104"/>
      <c r="F35" s="104"/>
      <c r="G35" s="104" t="s">
        <v>37</v>
      </c>
      <c r="H35" s="104" t="s">
        <v>38</v>
      </c>
      <c r="I35" s="104"/>
      <c r="J35" s="104"/>
      <c r="K35" s="104" t="s">
        <v>52</v>
      </c>
      <c r="L35" s="104"/>
      <c r="M35" s="104" t="s">
        <v>32</v>
      </c>
      <c r="N35" s="104"/>
      <c r="O35" s="104"/>
      <c r="P35" s="104" t="s">
        <v>162</v>
      </c>
      <c r="Q35" s="104">
        <v>60</v>
      </c>
      <c r="R35" s="104">
        <v>7</v>
      </c>
      <c r="S35" s="104">
        <v>0.2</v>
      </c>
      <c r="T35" s="104">
        <v>0.1</v>
      </c>
      <c r="U35" s="104">
        <v>0.1</v>
      </c>
      <c r="V35" s="104">
        <f t="shared" si="5"/>
        <v>23</v>
      </c>
      <c r="W35" s="104" t="s">
        <v>105</v>
      </c>
      <c r="X35" s="104">
        <v>1</v>
      </c>
      <c r="Y35" s="104">
        <v>20</v>
      </c>
      <c r="Z35" s="104">
        <v>10</v>
      </c>
      <c r="AA35" s="104" t="s">
        <v>12</v>
      </c>
      <c r="AB35" s="104">
        <f>(((((Q35+AL35+AM35)/2)*1.5+((Y35+S35+U35+T35)*X35))/36)/2)</f>
        <v>1.0541666666666667</v>
      </c>
      <c r="AC35" s="104"/>
      <c r="AD35" s="104"/>
      <c r="AE35" s="104">
        <f t="shared" si="6"/>
        <v>17.5</v>
      </c>
      <c r="AF35" s="104">
        <f>1.05416666666667*25</f>
        <v>26.35416666666675</v>
      </c>
      <c r="AG35" s="104"/>
      <c r="AH35" s="104"/>
      <c r="AI35" s="106" t="s">
        <v>24</v>
      </c>
      <c r="AJ35" s="104">
        <v>4</v>
      </c>
      <c r="AK35" s="104">
        <v>40</v>
      </c>
      <c r="AL35" s="104">
        <v>7</v>
      </c>
      <c r="AM35" s="104">
        <v>7</v>
      </c>
      <c r="AN35" s="104">
        <v>0</v>
      </c>
      <c r="AO35" s="104" t="s">
        <v>35</v>
      </c>
      <c r="AP35" s="104"/>
      <c r="AQ35" s="104"/>
      <c r="AR35" s="104"/>
      <c r="AS35" s="110"/>
    </row>
    <row r="36" spans="1:45" ht="33.75">
      <c r="A36" s="105" t="s">
        <v>172</v>
      </c>
      <c r="B36" s="104" t="s">
        <v>23</v>
      </c>
      <c r="C36" s="104" t="s">
        <v>36</v>
      </c>
      <c r="D36" s="104" t="s">
        <v>24</v>
      </c>
      <c r="E36" s="104" t="s">
        <v>45</v>
      </c>
      <c r="F36" s="104" t="s">
        <v>46</v>
      </c>
      <c r="G36" s="104" t="s">
        <v>37</v>
      </c>
      <c r="H36" s="104" t="s">
        <v>38</v>
      </c>
      <c r="I36" s="104" t="s">
        <v>37</v>
      </c>
      <c r="J36" s="104" t="s">
        <v>38</v>
      </c>
      <c r="K36" s="104" t="s">
        <v>52</v>
      </c>
      <c r="L36" s="104"/>
      <c r="M36" s="104" t="s">
        <v>32</v>
      </c>
      <c r="N36" s="104"/>
      <c r="O36" s="104"/>
      <c r="P36" s="104" t="s">
        <v>162</v>
      </c>
      <c r="Q36" s="104">
        <v>60</v>
      </c>
      <c r="R36" s="104">
        <v>7</v>
      </c>
      <c r="S36" s="104">
        <v>0.2</v>
      </c>
      <c r="T36" s="104">
        <v>0.1</v>
      </c>
      <c r="U36" s="104">
        <v>0.1</v>
      </c>
      <c r="V36" s="104">
        <f t="shared" si="5"/>
        <v>23</v>
      </c>
      <c r="W36" s="104" t="s">
        <v>105</v>
      </c>
      <c r="X36" s="104">
        <v>1</v>
      </c>
      <c r="Y36" s="104">
        <v>20</v>
      </c>
      <c r="Z36" s="104">
        <v>10</v>
      </c>
      <c r="AA36" s="104" t="s">
        <v>12</v>
      </c>
      <c r="AB36" s="104">
        <f>(((((Q36+AL36+AM36)/2)*1.5+((Y36+S36+U36+T36)*X36))/36)/2)</f>
        <v>1.0541666666666667</v>
      </c>
      <c r="AC36" s="104">
        <f>(((((Q36+AL36+AM36)/2)*1.5+((Y36+S36+U36+T36)*X36))/36)/2)</f>
        <v>1.0541666666666667</v>
      </c>
      <c r="AD36" s="104"/>
      <c r="AE36" s="104">
        <f t="shared" si="6"/>
        <v>17.5</v>
      </c>
      <c r="AF36" s="104">
        <f>1.05416666666667*25</f>
        <v>26.35416666666675</v>
      </c>
      <c r="AG36" s="104">
        <f>1.05416666666667*25</f>
        <v>26.35416666666675</v>
      </c>
      <c r="AH36" s="104"/>
      <c r="AI36" s="106" t="s">
        <v>24</v>
      </c>
      <c r="AJ36" s="104">
        <v>4</v>
      </c>
      <c r="AK36" s="104">
        <v>40</v>
      </c>
      <c r="AL36" s="104">
        <v>7</v>
      </c>
      <c r="AM36" s="104">
        <v>7</v>
      </c>
      <c r="AN36" s="104">
        <v>0</v>
      </c>
      <c r="AO36" s="104" t="s">
        <v>35</v>
      </c>
      <c r="AP36" s="104"/>
      <c r="AQ36" s="104"/>
      <c r="AR36" s="104" t="s">
        <v>158</v>
      </c>
      <c r="AS36" s="110"/>
    </row>
    <row r="37" spans="1:45" ht="33.75">
      <c r="A37" s="105" t="s">
        <v>172</v>
      </c>
      <c r="B37" s="104" t="s">
        <v>23</v>
      </c>
      <c r="C37" s="104" t="s">
        <v>36</v>
      </c>
      <c r="D37" s="104" t="s">
        <v>24</v>
      </c>
      <c r="E37" s="104" t="s">
        <v>45</v>
      </c>
      <c r="F37" s="104" t="s">
        <v>51</v>
      </c>
      <c r="G37" s="104" t="s">
        <v>37</v>
      </c>
      <c r="H37" s="104" t="s">
        <v>38</v>
      </c>
      <c r="I37" s="104" t="s">
        <v>37</v>
      </c>
      <c r="J37" s="104" t="s">
        <v>38</v>
      </c>
      <c r="K37" s="104" t="s">
        <v>52</v>
      </c>
      <c r="L37" s="104"/>
      <c r="M37" s="104" t="s">
        <v>32</v>
      </c>
      <c r="N37" s="104"/>
      <c r="O37" s="104"/>
      <c r="P37" s="104" t="s">
        <v>162</v>
      </c>
      <c r="Q37" s="104">
        <v>60</v>
      </c>
      <c r="R37" s="104">
        <v>7</v>
      </c>
      <c r="S37" s="104">
        <v>0.2</v>
      </c>
      <c r="T37" s="104">
        <v>0.1</v>
      </c>
      <c r="U37" s="104">
        <v>0.1</v>
      </c>
      <c r="V37" s="104">
        <f t="shared" si="5"/>
        <v>23</v>
      </c>
      <c r="W37" s="104" t="s">
        <v>105</v>
      </c>
      <c r="X37" s="104">
        <v>1</v>
      </c>
      <c r="Y37" s="104">
        <v>20</v>
      </c>
      <c r="Z37" s="104">
        <v>10</v>
      </c>
      <c r="AA37" s="104" t="s">
        <v>12</v>
      </c>
      <c r="AB37" s="104">
        <f>((((((Q37+AL37+AM37)/2)*1.5+((Y37+S37+U37+T37)*X37))/36)/2)/2)</f>
        <v>0.52708333333333335</v>
      </c>
      <c r="AC37" s="104">
        <f>((((((Q37+AL37+AM37)/2)*1.5+((Y37+S37+U37+T37)*X37))/36)/2)/2)</f>
        <v>0.52708333333333335</v>
      </c>
      <c r="AD37" s="104"/>
      <c r="AE37" s="104">
        <f t="shared" si="6"/>
        <v>17.5</v>
      </c>
      <c r="AF37" s="104">
        <f>0.527083333333333*25</f>
        <v>13.177083333333325</v>
      </c>
      <c r="AG37" s="104">
        <f>0.527083333333333*25</f>
        <v>13.177083333333325</v>
      </c>
      <c r="AH37" s="104"/>
      <c r="AI37" s="106" t="s">
        <v>24</v>
      </c>
      <c r="AJ37" s="104">
        <v>4</v>
      </c>
      <c r="AK37" s="104">
        <v>40</v>
      </c>
      <c r="AL37" s="104">
        <v>7</v>
      </c>
      <c r="AM37" s="104">
        <v>7</v>
      </c>
      <c r="AN37" s="104">
        <v>0</v>
      </c>
      <c r="AO37" s="104" t="s">
        <v>35</v>
      </c>
      <c r="AP37" s="104"/>
      <c r="AQ37" s="104"/>
      <c r="AR37" s="104" t="s">
        <v>158</v>
      </c>
      <c r="AS37" s="110"/>
    </row>
    <row r="38" spans="1:45" ht="33.75">
      <c r="A38" s="105" t="s">
        <v>172</v>
      </c>
      <c r="B38" s="104" t="s">
        <v>23</v>
      </c>
      <c r="C38" s="104" t="s">
        <v>36</v>
      </c>
      <c r="D38" s="104" t="s">
        <v>24</v>
      </c>
      <c r="E38" s="104" t="s">
        <v>45</v>
      </c>
      <c r="F38" s="104" t="s">
        <v>46</v>
      </c>
      <c r="G38" s="104" t="s">
        <v>37</v>
      </c>
      <c r="H38" s="104" t="s">
        <v>38</v>
      </c>
      <c r="I38" s="104" t="s">
        <v>37</v>
      </c>
      <c r="J38" s="104" t="s">
        <v>38</v>
      </c>
      <c r="K38" s="104" t="s">
        <v>52</v>
      </c>
      <c r="L38" s="104"/>
      <c r="M38" s="104" t="s">
        <v>32</v>
      </c>
      <c r="N38" s="104"/>
      <c r="O38" s="104"/>
      <c r="P38" s="104" t="s">
        <v>162</v>
      </c>
      <c r="Q38" s="104">
        <v>60</v>
      </c>
      <c r="R38" s="104">
        <v>7</v>
      </c>
      <c r="S38" s="104">
        <v>0.2</v>
      </c>
      <c r="T38" s="104">
        <v>0.1</v>
      </c>
      <c r="U38" s="104">
        <v>0.1</v>
      </c>
      <c r="V38" s="104">
        <f t="shared" si="5"/>
        <v>23</v>
      </c>
      <c r="W38" s="104" t="s">
        <v>105</v>
      </c>
      <c r="X38" s="104">
        <v>1</v>
      </c>
      <c r="Y38" s="104">
        <v>20</v>
      </c>
      <c r="Z38" s="104">
        <v>10</v>
      </c>
      <c r="AA38" s="104" t="s">
        <v>12</v>
      </c>
      <c r="AB38" s="104">
        <f>(((((Q38+AL38+AM38)/2)*1.5+((Y38+S38+U38+T38)*X38))/36)/2)</f>
        <v>1.0541666666666667</v>
      </c>
      <c r="AC38" s="104">
        <f>(((((Q38+AL38+AM38)/2)*1.5+((Y38+S38+U38+T38)*X38))/36)/2)</f>
        <v>1.0541666666666667</v>
      </c>
      <c r="AD38" s="104"/>
      <c r="AE38" s="104">
        <f t="shared" si="6"/>
        <v>17.5</v>
      </c>
      <c r="AF38" s="104">
        <f>1.05416666666667*25</f>
        <v>26.35416666666675</v>
      </c>
      <c r="AG38" s="104">
        <f>1.05416666666667*25</f>
        <v>26.35416666666675</v>
      </c>
      <c r="AH38" s="104"/>
      <c r="AI38" s="106" t="s">
        <v>24</v>
      </c>
      <c r="AJ38" s="104">
        <v>4</v>
      </c>
      <c r="AK38" s="104">
        <v>40</v>
      </c>
      <c r="AL38" s="104">
        <v>7</v>
      </c>
      <c r="AM38" s="104">
        <v>7</v>
      </c>
      <c r="AN38" s="104">
        <v>0</v>
      </c>
      <c r="AO38" s="104" t="s">
        <v>35</v>
      </c>
      <c r="AP38" s="104"/>
      <c r="AQ38" s="104"/>
      <c r="AR38" s="104" t="s">
        <v>158</v>
      </c>
      <c r="AS38" s="110"/>
    </row>
    <row r="39" spans="1:45" ht="33.75">
      <c r="A39" s="105" t="s">
        <v>172</v>
      </c>
      <c r="B39" s="104" t="s">
        <v>23</v>
      </c>
      <c r="C39" s="104" t="s">
        <v>36</v>
      </c>
      <c r="D39" s="104" t="s">
        <v>24</v>
      </c>
      <c r="E39" s="104" t="s">
        <v>45</v>
      </c>
      <c r="F39" s="104" t="s">
        <v>51</v>
      </c>
      <c r="G39" s="104" t="s">
        <v>37</v>
      </c>
      <c r="H39" s="104" t="s">
        <v>38</v>
      </c>
      <c r="I39" s="104" t="s">
        <v>37</v>
      </c>
      <c r="J39" s="104" t="s">
        <v>38</v>
      </c>
      <c r="K39" s="104" t="s">
        <v>52</v>
      </c>
      <c r="L39" s="104"/>
      <c r="M39" s="104" t="s">
        <v>32</v>
      </c>
      <c r="N39" s="104"/>
      <c r="O39" s="104"/>
      <c r="P39" s="104" t="s">
        <v>162</v>
      </c>
      <c r="Q39" s="104">
        <v>60</v>
      </c>
      <c r="R39" s="104">
        <v>7</v>
      </c>
      <c r="S39" s="104">
        <v>0.2</v>
      </c>
      <c r="T39" s="104">
        <v>0.1</v>
      </c>
      <c r="U39" s="104">
        <v>0.1</v>
      </c>
      <c r="V39" s="104">
        <f t="shared" si="5"/>
        <v>23</v>
      </c>
      <c r="W39" s="104" t="s">
        <v>105</v>
      </c>
      <c r="X39" s="104">
        <v>1</v>
      </c>
      <c r="Y39" s="104">
        <v>20</v>
      </c>
      <c r="Z39" s="104">
        <v>10</v>
      </c>
      <c r="AA39" s="104" t="s">
        <v>12</v>
      </c>
      <c r="AB39" s="104">
        <f>((((((Q39+AL39+AM39)/2)*1.5+((Y39+S39+U39+T39)*X39))/36)/2)/2)</f>
        <v>0.52708333333333335</v>
      </c>
      <c r="AC39" s="104">
        <f>((((((Q39+AL39+AM39)/2)*1.5+((Y39+S39+U39+T39)*X39))/36)/2)/2)</f>
        <v>0.52708333333333335</v>
      </c>
      <c r="AD39" s="104"/>
      <c r="AE39" s="104">
        <f t="shared" si="6"/>
        <v>17.5</v>
      </c>
      <c r="AF39" s="104">
        <f t="shared" ref="AF39:AG41" si="7">0.527083333333333*25</f>
        <v>13.177083333333325</v>
      </c>
      <c r="AG39" s="104">
        <f t="shared" si="7"/>
        <v>13.177083333333325</v>
      </c>
      <c r="AH39" s="104"/>
      <c r="AI39" s="106" t="s">
        <v>24</v>
      </c>
      <c r="AJ39" s="104">
        <v>4</v>
      </c>
      <c r="AK39" s="104">
        <v>40</v>
      </c>
      <c r="AL39" s="104">
        <v>7</v>
      </c>
      <c r="AM39" s="104">
        <v>7</v>
      </c>
      <c r="AN39" s="104">
        <v>0</v>
      </c>
      <c r="AO39" s="104" t="s">
        <v>35</v>
      </c>
      <c r="AP39" s="104"/>
      <c r="AQ39" s="104"/>
      <c r="AR39" s="104" t="s">
        <v>158</v>
      </c>
      <c r="AS39" s="110"/>
    </row>
    <row r="40" spans="1:45" ht="33.75">
      <c r="A40" s="105" t="s">
        <v>172</v>
      </c>
      <c r="B40" s="104" t="s">
        <v>23</v>
      </c>
      <c r="C40" s="104" t="s">
        <v>36</v>
      </c>
      <c r="D40" s="104" t="s">
        <v>24</v>
      </c>
      <c r="E40" s="104" t="s">
        <v>45</v>
      </c>
      <c r="F40" s="104" t="s">
        <v>51</v>
      </c>
      <c r="G40" s="104" t="s">
        <v>37</v>
      </c>
      <c r="H40" s="104" t="s">
        <v>38</v>
      </c>
      <c r="I40" s="104" t="s">
        <v>37</v>
      </c>
      <c r="J40" s="104" t="s">
        <v>38</v>
      </c>
      <c r="K40" s="104" t="s">
        <v>52</v>
      </c>
      <c r="L40" s="104"/>
      <c r="M40" s="104" t="s">
        <v>32</v>
      </c>
      <c r="N40" s="104"/>
      <c r="O40" s="104"/>
      <c r="P40" s="104" t="s">
        <v>162</v>
      </c>
      <c r="Q40" s="104">
        <v>60</v>
      </c>
      <c r="R40" s="104">
        <v>7</v>
      </c>
      <c r="S40" s="104">
        <v>0.2</v>
      </c>
      <c r="T40" s="104">
        <v>0.1</v>
      </c>
      <c r="U40" s="104">
        <v>0.1</v>
      </c>
      <c r="V40" s="104">
        <f t="shared" si="5"/>
        <v>23</v>
      </c>
      <c r="W40" s="104" t="s">
        <v>105</v>
      </c>
      <c r="X40" s="104">
        <v>1</v>
      </c>
      <c r="Y40" s="104">
        <v>20</v>
      </c>
      <c r="Z40" s="104">
        <v>10</v>
      </c>
      <c r="AA40" s="104" t="s">
        <v>12</v>
      </c>
      <c r="AB40" s="104">
        <f>((((((Q40+AL40+AM40)/2)*1.5+((Y40+S40+U40+T40)*X40))/36)/2)/2)</f>
        <v>0.52708333333333335</v>
      </c>
      <c r="AC40" s="104">
        <f>((((((Q40+AL40+AM40)/2)*1.5+((Y40+S40+U40+T40)*X40))/36)/2)/2)</f>
        <v>0.52708333333333335</v>
      </c>
      <c r="AD40" s="104"/>
      <c r="AE40" s="104">
        <f t="shared" si="6"/>
        <v>17.5</v>
      </c>
      <c r="AF40" s="104">
        <f t="shared" si="7"/>
        <v>13.177083333333325</v>
      </c>
      <c r="AG40" s="104">
        <f t="shared" si="7"/>
        <v>13.177083333333325</v>
      </c>
      <c r="AH40" s="104"/>
      <c r="AI40" s="106" t="s">
        <v>24</v>
      </c>
      <c r="AJ40" s="104">
        <v>7</v>
      </c>
      <c r="AK40" s="104">
        <v>40</v>
      </c>
      <c r="AL40" s="104">
        <v>7</v>
      </c>
      <c r="AM40" s="104">
        <v>7</v>
      </c>
      <c r="AN40" s="104">
        <v>0</v>
      </c>
      <c r="AO40" s="104" t="s">
        <v>35</v>
      </c>
      <c r="AP40" s="104"/>
      <c r="AQ40" s="104"/>
      <c r="AR40" s="104" t="s">
        <v>158</v>
      </c>
      <c r="AS40" s="110"/>
    </row>
    <row r="41" spans="1:45" ht="33.75">
      <c r="A41" s="105" t="s">
        <v>172</v>
      </c>
      <c r="B41" s="104" t="s">
        <v>23</v>
      </c>
      <c r="C41" s="104" t="s">
        <v>36</v>
      </c>
      <c r="D41" s="104" t="s">
        <v>24</v>
      </c>
      <c r="E41" s="104" t="s">
        <v>45</v>
      </c>
      <c r="F41" s="104" t="s">
        <v>51</v>
      </c>
      <c r="G41" s="104" t="s">
        <v>37</v>
      </c>
      <c r="H41" s="104" t="s">
        <v>38</v>
      </c>
      <c r="I41" s="104" t="s">
        <v>37</v>
      </c>
      <c r="J41" s="104" t="s">
        <v>38</v>
      </c>
      <c r="K41" s="104" t="s">
        <v>52</v>
      </c>
      <c r="L41" s="104"/>
      <c r="M41" s="104" t="s">
        <v>32</v>
      </c>
      <c r="N41" s="104"/>
      <c r="O41" s="104"/>
      <c r="P41" s="104" t="s">
        <v>162</v>
      </c>
      <c r="Q41" s="104">
        <v>60</v>
      </c>
      <c r="R41" s="104">
        <v>7</v>
      </c>
      <c r="S41" s="104">
        <v>0.2</v>
      </c>
      <c r="T41" s="104">
        <v>0.1</v>
      </c>
      <c r="U41" s="104">
        <v>0.1</v>
      </c>
      <c r="V41" s="104">
        <f t="shared" si="5"/>
        <v>23</v>
      </c>
      <c r="W41" s="104" t="s">
        <v>105</v>
      </c>
      <c r="X41" s="104">
        <v>1</v>
      </c>
      <c r="Y41" s="104">
        <v>20</v>
      </c>
      <c r="Z41" s="104">
        <v>10</v>
      </c>
      <c r="AA41" s="104" t="s">
        <v>12</v>
      </c>
      <c r="AB41" s="104">
        <f>((((((Q41+AL41+AM41)/2)*1.5+((Y41+S41+U41+T41)*X41))/36)/2)/2)</f>
        <v>0.52708333333333335</v>
      </c>
      <c r="AC41" s="104">
        <f>((((((Q41+AL41+AM41)/2)*1.5+((Y41+S41+U41+T41)*X41))/36)/2)/2)</f>
        <v>0.52708333333333335</v>
      </c>
      <c r="AD41" s="104"/>
      <c r="AE41" s="104">
        <f t="shared" si="6"/>
        <v>17.5</v>
      </c>
      <c r="AF41" s="104">
        <f t="shared" si="7"/>
        <v>13.177083333333325</v>
      </c>
      <c r="AG41" s="104">
        <f t="shared" si="7"/>
        <v>13.177083333333325</v>
      </c>
      <c r="AH41" s="104"/>
      <c r="AI41" s="106" t="s">
        <v>24</v>
      </c>
      <c r="AJ41" s="104">
        <v>7</v>
      </c>
      <c r="AK41" s="104">
        <v>40</v>
      </c>
      <c r="AL41" s="104">
        <v>7</v>
      </c>
      <c r="AM41" s="104">
        <v>7</v>
      </c>
      <c r="AN41" s="104">
        <v>0</v>
      </c>
      <c r="AO41" s="104" t="s">
        <v>35</v>
      </c>
      <c r="AP41" s="104"/>
      <c r="AQ41" s="104"/>
      <c r="AR41" s="104" t="s">
        <v>158</v>
      </c>
      <c r="AS41" s="110"/>
    </row>
    <row r="42" spans="1:45" ht="33.75">
      <c r="A42" s="105" t="s">
        <v>172</v>
      </c>
      <c r="B42" s="104" t="s">
        <v>23</v>
      </c>
      <c r="C42" s="104" t="s">
        <v>36</v>
      </c>
      <c r="D42" s="104" t="s">
        <v>24</v>
      </c>
      <c r="E42" s="104" t="s">
        <v>45</v>
      </c>
      <c r="F42" s="104" t="s">
        <v>51</v>
      </c>
      <c r="G42" s="104" t="s">
        <v>37</v>
      </c>
      <c r="H42" s="104" t="s">
        <v>38</v>
      </c>
      <c r="I42" s="104" t="s">
        <v>37</v>
      </c>
      <c r="J42" s="104" t="s">
        <v>38</v>
      </c>
      <c r="K42" s="104" t="s">
        <v>52</v>
      </c>
      <c r="L42" s="104"/>
      <c r="M42" s="104" t="s">
        <v>32</v>
      </c>
      <c r="N42" s="104"/>
      <c r="O42" s="104"/>
      <c r="P42" s="104" t="s">
        <v>164</v>
      </c>
      <c r="Q42" s="104">
        <v>60</v>
      </c>
      <c r="R42" s="104">
        <v>7</v>
      </c>
      <c r="S42" s="104">
        <v>0.2</v>
      </c>
      <c r="T42" s="104">
        <v>0.1</v>
      </c>
      <c r="U42" s="104">
        <v>0.1</v>
      </c>
      <c r="V42" s="104">
        <f t="shared" si="5"/>
        <v>23</v>
      </c>
      <c r="W42" s="104" t="s">
        <v>105</v>
      </c>
      <c r="X42" s="104">
        <v>1</v>
      </c>
      <c r="Y42" s="104">
        <v>20</v>
      </c>
      <c r="Z42" s="104">
        <v>10</v>
      </c>
      <c r="AA42" s="104" t="s">
        <v>12</v>
      </c>
      <c r="AB42" s="104">
        <f>(((((Q42+AL42+AM42)/2)*1.5+((Y42+S42+U42+T42)*X42))/36)/2)</f>
        <v>1.0541666666666667</v>
      </c>
      <c r="AC42" s="104">
        <f>(((((Q42+AL42+AM42)/2)*1.5+((Y42+S42+U42+T42)*X42))/36)/2)</f>
        <v>1.0541666666666667</v>
      </c>
      <c r="AD42" s="104"/>
      <c r="AE42" s="104">
        <f t="shared" si="6"/>
        <v>17.5</v>
      </c>
      <c r="AF42" s="104">
        <f>1.05416666666667*25</f>
        <v>26.35416666666675</v>
      </c>
      <c r="AG42" s="104">
        <f>1.05416666666667*25</f>
        <v>26.35416666666675</v>
      </c>
      <c r="AH42" s="104"/>
      <c r="AI42" s="106" t="s">
        <v>24</v>
      </c>
      <c r="AJ42" s="104">
        <v>7</v>
      </c>
      <c r="AK42" s="104">
        <v>40</v>
      </c>
      <c r="AL42" s="104">
        <v>7</v>
      </c>
      <c r="AM42" s="104">
        <v>7</v>
      </c>
      <c r="AN42" s="104">
        <v>0</v>
      </c>
      <c r="AO42" s="104" t="s">
        <v>35</v>
      </c>
      <c r="AP42" s="104"/>
      <c r="AQ42" s="104"/>
      <c r="AR42" s="104" t="s">
        <v>158</v>
      </c>
      <c r="AS42" s="110"/>
    </row>
    <row r="43" spans="1:45" ht="33.75">
      <c r="A43" s="105" t="s">
        <v>172</v>
      </c>
      <c r="B43" s="104" t="s">
        <v>23</v>
      </c>
      <c r="C43" s="104" t="s">
        <v>36</v>
      </c>
      <c r="D43" s="104" t="s">
        <v>24</v>
      </c>
      <c r="E43" s="104" t="s">
        <v>45</v>
      </c>
      <c r="F43" s="104" t="s">
        <v>46</v>
      </c>
      <c r="G43" s="104" t="s">
        <v>37</v>
      </c>
      <c r="H43" s="104" t="s">
        <v>38</v>
      </c>
      <c r="I43" s="104" t="s">
        <v>37</v>
      </c>
      <c r="J43" s="104" t="s">
        <v>38</v>
      </c>
      <c r="K43" s="104" t="s">
        <v>52</v>
      </c>
      <c r="L43" s="104"/>
      <c r="M43" s="104" t="s">
        <v>32</v>
      </c>
      <c r="N43" s="104"/>
      <c r="O43" s="104"/>
      <c r="P43" s="104" t="s">
        <v>164</v>
      </c>
      <c r="Q43" s="104">
        <v>60</v>
      </c>
      <c r="R43" s="104">
        <v>7</v>
      </c>
      <c r="S43" s="104">
        <v>0.2</v>
      </c>
      <c r="T43" s="104">
        <v>0.1</v>
      </c>
      <c r="U43" s="104">
        <v>0.1</v>
      </c>
      <c r="V43" s="104">
        <f t="shared" si="5"/>
        <v>23</v>
      </c>
      <c r="W43" s="104" t="s">
        <v>105</v>
      </c>
      <c r="X43" s="104">
        <v>1</v>
      </c>
      <c r="Y43" s="104">
        <v>20</v>
      </c>
      <c r="Z43" s="104">
        <v>10</v>
      </c>
      <c r="AA43" s="104" t="s">
        <v>12</v>
      </c>
      <c r="AB43" s="104">
        <f>((((Q43+AL43+AM43)/2)*1.5+((Y43+S43+U43+T43)*X43))/36)</f>
        <v>2.1083333333333334</v>
      </c>
      <c r="AC43" s="104">
        <f>((((Q43+AL43+AM43)/2)*1.5+((Y43+S43+U43+T43)*X43))/36)</f>
        <v>2.1083333333333334</v>
      </c>
      <c r="AD43" s="104"/>
      <c r="AE43" s="104">
        <f t="shared" si="6"/>
        <v>17.5</v>
      </c>
      <c r="AF43" s="104">
        <f>2.10833333333333*25</f>
        <v>52.708333333333243</v>
      </c>
      <c r="AG43" s="104">
        <f>2.10833333333333*25</f>
        <v>52.708333333333243</v>
      </c>
      <c r="AH43" s="104"/>
      <c r="AI43" s="106" t="s">
        <v>24</v>
      </c>
      <c r="AJ43" s="104">
        <v>7</v>
      </c>
      <c r="AK43" s="104">
        <v>40</v>
      </c>
      <c r="AL43" s="104">
        <v>7</v>
      </c>
      <c r="AM43" s="104">
        <v>7</v>
      </c>
      <c r="AN43" s="104">
        <v>0</v>
      </c>
      <c r="AO43" s="104" t="s">
        <v>35</v>
      </c>
      <c r="AP43" s="104"/>
      <c r="AQ43" s="104"/>
      <c r="AR43" s="104" t="s">
        <v>158</v>
      </c>
      <c r="AS43" s="110"/>
    </row>
    <row r="44" spans="1:45" ht="33.75">
      <c r="A44" s="105" t="s">
        <v>172</v>
      </c>
      <c r="B44" s="104" t="s">
        <v>23</v>
      </c>
      <c r="C44" s="104" t="s">
        <v>36</v>
      </c>
      <c r="D44" s="104" t="s">
        <v>24</v>
      </c>
      <c r="E44" s="104" t="s">
        <v>45</v>
      </c>
      <c r="F44" s="104" t="s">
        <v>51</v>
      </c>
      <c r="G44" s="104" t="s">
        <v>37</v>
      </c>
      <c r="H44" s="104" t="s">
        <v>38</v>
      </c>
      <c r="I44" s="104" t="s">
        <v>37</v>
      </c>
      <c r="J44" s="104" t="s">
        <v>38</v>
      </c>
      <c r="K44" s="104" t="s">
        <v>52</v>
      </c>
      <c r="L44" s="104"/>
      <c r="M44" s="104" t="s">
        <v>32</v>
      </c>
      <c r="N44" s="104"/>
      <c r="O44" s="104"/>
      <c r="P44" s="104" t="s">
        <v>164</v>
      </c>
      <c r="Q44" s="104">
        <v>60</v>
      </c>
      <c r="R44" s="104">
        <v>7</v>
      </c>
      <c r="S44" s="104">
        <v>0.2</v>
      </c>
      <c r="T44" s="104">
        <v>0.1</v>
      </c>
      <c r="U44" s="104">
        <v>0.1</v>
      </c>
      <c r="V44" s="104">
        <f t="shared" si="5"/>
        <v>23</v>
      </c>
      <c r="W44" s="104" t="s">
        <v>105</v>
      </c>
      <c r="X44" s="104">
        <v>1</v>
      </c>
      <c r="Y44" s="104">
        <v>20</v>
      </c>
      <c r="Z44" s="104">
        <v>10</v>
      </c>
      <c r="AA44" s="104" t="s">
        <v>12</v>
      </c>
      <c r="AB44" s="104">
        <f>(((((Q44+AL44+AM44)/2)*1.5+((Y44+S44+U44+T44)*X44))/36)/2)</f>
        <v>1.0541666666666667</v>
      </c>
      <c r="AC44" s="104">
        <f>(((((Q44+AL44+AM44)/2)*1.5+((Y44+S44+U44+T44)*X44))/36)/2)</f>
        <v>1.0541666666666667</v>
      </c>
      <c r="AD44" s="104"/>
      <c r="AE44" s="104">
        <f t="shared" si="6"/>
        <v>17.5</v>
      </c>
      <c r="AF44" s="104">
        <f>1.05416666666667*25</f>
        <v>26.35416666666675</v>
      </c>
      <c r="AG44" s="104">
        <f>1.05416666666667*25</f>
        <v>26.35416666666675</v>
      </c>
      <c r="AH44" s="104"/>
      <c r="AI44" s="106" t="s">
        <v>24</v>
      </c>
      <c r="AJ44" s="104">
        <v>7</v>
      </c>
      <c r="AK44" s="104">
        <v>40</v>
      </c>
      <c r="AL44" s="104">
        <v>7</v>
      </c>
      <c r="AM44" s="104">
        <v>7</v>
      </c>
      <c r="AN44" s="104">
        <v>0</v>
      </c>
      <c r="AO44" s="104" t="s">
        <v>35</v>
      </c>
      <c r="AP44" s="104"/>
      <c r="AQ44" s="104"/>
      <c r="AR44" s="104" t="s">
        <v>158</v>
      </c>
      <c r="AS44" s="110"/>
    </row>
    <row r="45" spans="1:45" ht="22.5">
      <c r="A45" s="105" t="s">
        <v>67</v>
      </c>
      <c r="B45" s="104" t="s">
        <v>23</v>
      </c>
      <c r="C45" s="104" t="s">
        <v>36</v>
      </c>
      <c r="D45" s="104" t="s">
        <v>24</v>
      </c>
      <c r="E45" s="104"/>
      <c r="F45" s="104"/>
      <c r="G45" s="104" t="s">
        <v>37</v>
      </c>
      <c r="H45" s="104" t="s">
        <v>38</v>
      </c>
      <c r="I45" s="104"/>
      <c r="J45" s="104"/>
      <c r="K45" s="104" t="s">
        <v>29</v>
      </c>
      <c r="L45" s="104"/>
      <c r="M45" s="104" t="s">
        <v>32</v>
      </c>
      <c r="N45" s="104"/>
      <c r="O45" s="104"/>
      <c r="P45" s="104" t="s">
        <v>162</v>
      </c>
      <c r="Q45" s="104">
        <v>68</v>
      </c>
      <c r="R45" s="104">
        <v>7</v>
      </c>
      <c r="S45" s="104">
        <v>0.2</v>
      </c>
      <c r="T45" s="104">
        <v>0.1</v>
      </c>
      <c r="U45" s="104">
        <v>0.1</v>
      </c>
      <c r="V45" s="104">
        <f t="shared" si="5"/>
        <v>27</v>
      </c>
      <c r="W45" s="104">
        <v>25</v>
      </c>
      <c r="X45" s="104">
        <v>1</v>
      </c>
      <c r="Y45" s="104">
        <v>20</v>
      </c>
      <c r="Z45" s="104">
        <v>10</v>
      </c>
      <c r="AA45" s="104" t="s">
        <v>12</v>
      </c>
      <c r="AB45" s="104">
        <f t="shared" ref="AB45:AB50" si="8">(((((Q45+AL45+AM45)/2)*1.5+((Y45+S45+U45+T45)*X45))/36)/2)*2</f>
        <v>2.2750000000000004</v>
      </c>
      <c r="AC45" s="104"/>
      <c r="AD45" s="104"/>
      <c r="AE45" s="104">
        <f t="shared" si="6"/>
        <v>17.5</v>
      </c>
      <c r="AF45" s="104">
        <f>2.275*25</f>
        <v>56.875</v>
      </c>
      <c r="AG45" s="104"/>
      <c r="AH45" s="104"/>
      <c r="AI45" s="106" t="s">
        <v>24</v>
      </c>
      <c r="AJ45" s="104">
        <v>4</v>
      </c>
      <c r="AK45" s="104">
        <v>40</v>
      </c>
      <c r="AL45" s="104">
        <v>7</v>
      </c>
      <c r="AM45" s="104">
        <v>7</v>
      </c>
      <c r="AN45" s="104">
        <v>0</v>
      </c>
      <c r="AO45" s="104" t="s">
        <v>35</v>
      </c>
      <c r="AP45" s="104"/>
      <c r="AQ45" s="104"/>
      <c r="AR45" s="104"/>
      <c r="AS45" s="113"/>
    </row>
    <row r="46" spans="1:45" ht="22.5">
      <c r="A46" s="105" t="s">
        <v>67</v>
      </c>
      <c r="B46" s="104" t="s">
        <v>23</v>
      </c>
      <c r="C46" s="104" t="s">
        <v>36</v>
      </c>
      <c r="D46" s="104" t="s">
        <v>24</v>
      </c>
      <c r="E46" s="104"/>
      <c r="F46" s="104"/>
      <c r="G46" s="104" t="s">
        <v>37</v>
      </c>
      <c r="H46" s="104" t="s">
        <v>38</v>
      </c>
      <c r="I46" s="104"/>
      <c r="J46" s="104"/>
      <c r="K46" s="104" t="s">
        <v>29</v>
      </c>
      <c r="L46" s="104"/>
      <c r="M46" s="104" t="s">
        <v>32</v>
      </c>
      <c r="N46" s="104"/>
      <c r="O46" s="104"/>
      <c r="P46" s="104" t="s">
        <v>162</v>
      </c>
      <c r="Q46" s="104">
        <v>81</v>
      </c>
      <c r="R46" s="104">
        <v>7</v>
      </c>
      <c r="S46" s="104">
        <v>0.2</v>
      </c>
      <c r="T46" s="104">
        <v>0.1</v>
      </c>
      <c r="U46" s="104">
        <v>0.1</v>
      </c>
      <c r="V46" s="104">
        <f t="shared" si="5"/>
        <v>33.5</v>
      </c>
      <c r="W46" s="104">
        <v>25</v>
      </c>
      <c r="X46" s="104">
        <v>1</v>
      </c>
      <c r="Y46" s="104">
        <v>20</v>
      </c>
      <c r="Z46" s="104">
        <v>10</v>
      </c>
      <c r="AA46" s="104" t="s">
        <v>12</v>
      </c>
      <c r="AB46" s="104">
        <f t="shared" si="8"/>
        <v>2.5458333333333334</v>
      </c>
      <c r="AC46" s="104"/>
      <c r="AD46" s="104"/>
      <c r="AE46" s="104">
        <f t="shared" si="6"/>
        <v>17.5</v>
      </c>
      <c r="AF46" s="104">
        <f>2.54583333333333*25</f>
        <v>63.645833333333243</v>
      </c>
      <c r="AG46" s="104"/>
      <c r="AH46" s="104"/>
      <c r="AI46" s="106" t="s">
        <v>24</v>
      </c>
      <c r="AJ46" s="104">
        <v>4</v>
      </c>
      <c r="AK46" s="104">
        <v>40</v>
      </c>
      <c r="AL46" s="104">
        <v>7</v>
      </c>
      <c r="AM46" s="104">
        <v>7</v>
      </c>
      <c r="AN46" s="104">
        <v>0</v>
      </c>
      <c r="AO46" s="104" t="s">
        <v>35</v>
      </c>
      <c r="AP46" s="104"/>
      <c r="AQ46" s="104"/>
      <c r="AR46" s="104"/>
      <c r="AS46" s="113"/>
    </row>
    <row r="47" spans="1:45" ht="22.5">
      <c r="A47" s="105" t="s">
        <v>67</v>
      </c>
      <c r="B47" s="104" t="s">
        <v>23</v>
      </c>
      <c r="C47" s="104" t="s">
        <v>36</v>
      </c>
      <c r="D47" s="104" t="s">
        <v>24</v>
      </c>
      <c r="E47" s="104"/>
      <c r="F47" s="104"/>
      <c r="G47" s="104" t="s">
        <v>37</v>
      </c>
      <c r="H47" s="104" t="s">
        <v>38</v>
      </c>
      <c r="I47" s="104"/>
      <c r="J47" s="104"/>
      <c r="K47" s="104" t="s">
        <v>29</v>
      </c>
      <c r="L47" s="104"/>
      <c r="M47" s="104" t="s">
        <v>24</v>
      </c>
      <c r="N47" s="104" t="s">
        <v>37</v>
      </c>
      <c r="O47" s="104" t="s">
        <v>38</v>
      </c>
      <c r="P47" s="104" t="s">
        <v>162</v>
      </c>
      <c r="Q47" s="104">
        <v>60</v>
      </c>
      <c r="R47" s="104">
        <v>7</v>
      </c>
      <c r="S47" s="104">
        <v>0.2</v>
      </c>
      <c r="T47" s="104">
        <v>0.1</v>
      </c>
      <c r="U47" s="104">
        <v>0.1</v>
      </c>
      <c r="V47" s="104">
        <f t="shared" si="5"/>
        <v>23</v>
      </c>
      <c r="W47" s="104">
        <v>25</v>
      </c>
      <c r="X47" s="104">
        <v>1</v>
      </c>
      <c r="Y47" s="104">
        <v>20</v>
      </c>
      <c r="Z47" s="104">
        <v>10</v>
      </c>
      <c r="AA47" s="104" t="s">
        <v>12</v>
      </c>
      <c r="AB47" s="104">
        <f t="shared" si="8"/>
        <v>2.1083333333333334</v>
      </c>
      <c r="AC47" s="104"/>
      <c r="AD47" s="104">
        <f>((((Q47-R47*2)*1.5)+(Z47+S47)*2)*X47/36)/2</f>
        <v>1.2416666666666667</v>
      </c>
      <c r="AE47" s="104">
        <f t="shared" si="6"/>
        <v>17.5</v>
      </c>
      <c r="AF47" s="104">
        <f>2.10833333333333*25</f>
        <v>52.708333333333243</v>
      </c>
      <c r="AG47" s="104"/>
      <c r="AH47" s="104">
        <f>2.10833333333333*10</f>
        <v>21.0833333333333</v>
      </c>
      <c r="AI47" s="106" t="s">
        <v>24</v>
      </c>
      <c r="AJ47" s="104">
        <v>4</v>
      </c>
      <c r="AK47" s="104">
        <v>40</v>
      </c>
      <c r="AL47" s="104">
        <v>7</v>
      </c>
      <c r="AM47" s="104">
        <v>7</v>
      </c>
      <c r="AN47" s="104">
        <v>0</v>
      </c>
      <c r="AO47" s="104" t="s">
        <v>35</v>
      </c>
      <c r="AP47" s="104"/>
      <c r="AQ47" s="104"/>
      <c r="AR47" s="104"/>
      <c r="AS47" s="113"/>
    </row>
    <row r="48" spans="1:45" ht="22.5">
      <c r="A48" s="105" t="s">
        <v>172</v>
      </c>
      <c r="B48" s="104" t="s">
        <v>23</v>
      </c>
      <c r="C48" s="104" t="s">
        <v>36</v>
      </c>
      <c r="D48" s="104" t="s">
        <v>24</v>
      </c>
      <c r="E48" s="104"/>
      <c r="F48" s="104"/>
      <c r="G48" s="104" t="s">
        <v>37</v>
      </c>
      <c r="H48" s="104" t="s">
        <v>38</v>
      </c>
      <c r="I48" s="104"/>
      <c r="J48" s="104"/>
      <c r="K48" s="104" t="s">
        <v>29</v>
      </c>
      <c r="L48" s="104"/>
      <c r="M48" s="104" t="s">
        <v>24</v>
      </c>
      <c r="N48" s="104" t="s">
        <v>37</v>
      </c>
      <c r="O48" s="104" t="s">
        <v>38</v>
      </c>
      <c r="P48" s="104" t="s">
        <v>162</v>
      </c>
      <c r="Q48" s="104">
        <v>60</v>
      </c>
      <c r="R48" s="104">
        <v>7</v>
      </c>
      <c r="S48" s="104">
        <v>0.2</v>
      </c>
      <c r="T48" s="104">
        <v>0.1</v>
      </c>
      <c r="U48" s="104">
        <v>0.1</v>
      </c>
      <c r="V48" s="104">
        <f t="shared" si="5"/>
        <v>23</v>
      </c>
      <c r="W48" s="104">
        <v>25</v>
      </c>
      <c r="X48" s="104">
        <v>1</v>
      </c>
      <c r="Y48" s="104">
        <v>20</v>
      </c>
      <c r="Z48" s="104">
        <v>10</v>
      </c>
      <c r="AA48" s="104" t="s">
        <v>12</v>
      </c>
      <c r="AB48" s="104">
        <f t="shared" si="8"/>
        <v>2.1083333333333334</v>
      </c>
      <c r="AC48" s="104"/>
      <c r="AD48" s="104">
        <f>((((Q48-R48*2)*1.5)+(Z48+S48)*2)*X48/36)/2</f>
        <v>1.2416666666666667</v>
      </c>
      <c r="AE48" s="104">
        <f t="shared" si="6"/>
        <v>17.5</v>
      </c>
      <c r="AF48" s="104">
        <f>2.10833333333333*25</f>
        <v>52.708333333333243</v>
      </c>
      <c r="AG48" s="104"/>
      <c r="AH48" s="104">
        <f>2.10833333333333*10</f>
        <v>21.0833333333333</v>
      </c>
      <c r="AI48" s="106" t="s">
        <v>24</v>
      </c>
      <c r="AJ48" s="104">
        <v>4</v>
      </c>
      <c r="AK48" s="104">
        <v>40</v>
      </c>
      <c r="AL48" s="104">
        <v>7</v>
      </c>
      <c r="AM48" s="104">
        <v>7</v>
      </c>
      <c r="AN48" s="104">
        <v>0</v>
      </c>
      <c r="AO48" s="104" t="s">
        <v>35</v>
      </c>
      <c r="AP48" s="104"/>
      <c r="AQ48" s="104"/>
      <c r="AR48" s="104"/>
      <c r="AS48" s="113"/>
    </row>
    <row r="49" spans="1:45" ht="22.5">
      <c r="A49" s="105" t="s">
        <v>42</v>
      </c>
      <c r="B49" s="104" t="s">
        <v>23</v>
      </c>
      <c r="C49" s="104" t="s">
        <v>36</v>
      </c>
      <c r="D49" s="104" t="s">
        <v>24</v>
      </c>
      <c r="E49" s="104"/>
      <c r="F49" s="104"/>
      <c r="G49" s="104" t="s">
        <v>37</v>
      </c>
      <c r="H49" s="104" t="s">
        <v>38</v>
      </c>
      <c r="I49" s="104"/>
      <c r="J49" s="104"/>
      <c r="K49" s="104" t="s">
        <v>29</v>
      </c>
      <c r="L49" s="104"/>
      <c r="M49" s="104" t="s">
        <v>32</v>
      </c>
      <c r="N49" s="104"/>
      <c r="O49" s="104"/>
      <c r="P49" s="104" t="s">
        <v>162</v>
      </c>
      <c r="Q49" s="104">
        <v>60</v>
      </c>
      <c r="R49" s="104">
        <v>7</v>
      </c>
      <c r="S49" s="104">
        <v>0.2</v>
      </c>
      <c r="T49" s="104">
        <v>0.1</v>
      </c>
      <c r="U49" s="104">
        <v>0.1</v>
      </c>
      <c r="V49" s="104">
        <f t="shared" si="5"/>
        <v>23</v>
      </c>
      <c r="W49" s="104">
        <v>25</v>
      </c>
      <c r="X49" s="104">
        <v>1</v>
      </c>
      <c r="Y49" s="104">
        <v>20</v>
      </c>
      <c r="Z49" s="104">
        <v>10</v>
      </c>
      <c r="AA49" s="104" t="s">
        <v>12</v>
      </c>
      <c r="AB49" s="104">
        <f t="shared" si="8"/>
        <v>2.1083333333333334</v>
      </c>
      <c r="AC49" s="104"/>
      <c r="AD49" s="104"/>
      <c r="AE49" s="104">
        <f t="shared" si="6"/>
        <v>17.5</v>
      </c>
      <c r="AF49" s="104">
        <f>2.10833333333333*25</f>
        <v>52.708333333333243</v>
      </c>
      <c r="AG49" s="104"/>
      <c r="AH49" s="104"/>
      <c r="AI49" s="106" t="s">
        <v>24</v>
      </c>
      <c r="AJ49" s="104">
        <v>4</v>
      </c>
      <c r="AK49" s="104">
        <v>40</v>
      </c>
      <c r="AL49" s="104">
        <v>7</v>
      </c>
      <c r="AM49" s="104">
        <v>7</v>
      </c>
      <c r="AN49" s="104">
        <v>0</v>
      </c>
      <c r="AO49" s="104" t="s">
        <v>35</v>
      </c>
      <c r="AP49" s="104" t="s">
        <v>146</v>
      </c>
      <c r="AQ49" s="104">
        <v>3.5</v>
      </c>
      <c r="AR49" s="104"/>
      <c r="AS49" s="113"/>
    </row>
    <row r="50" spans="1:45" ht="33.75">
      <c r="A50" s="105" t="s">
        <v>42</v>
      </c>
      <c r="B50" s="104" t="s">
        <v>23</v>
      </c>
      <c r="C50" s="104" t="s">
        <v>36</v>
      </c>
      <c r="D50" s="104" t="s">
        <v>24</v>
      </c>
      <c r="E50" s="104" t="s">
        <v>45</v>
      </c>
      <c r="F50" s="104" t="s">
        <v>46</v>
      </c>
      <c r="G50" s="104" t="s">
        <v>37</v>
      </c>
      <c r="H50" s="104" t="s">
        <v>38</v>
      </c>
      <c r="I50" s="104" t="s">
        <v>37</v>
      </c>
      <c r="J50" s="104" t="s">
        <v>38</v>
      </c>
      <c r="K50" s="104" t="s">
        <v>29</v>
      </c>
      <c r="L50" s="104"/>
      <c r="M50" s="104" t="s">
        <v>32</v>
      </c>
      <c r="N50" s="104"/>
      <c r="O50" s="104"/>
      <c r="P50" s="104" t="s">
        <v>162</v>
      </c>
      <c r="Q50" s="104">
        <v>60</v>
      </c>
      <c r="R50" s="104">
        <v>7</v>
      </c>
      <c r="S50" s="104">
        <v>0.2</v>
      </c>
      <c r="T50" s="104">
        <v>0.1</v>
      </c>
      <c r="U50" s="104">
        <v>0.1</v>
      </c>
      <c r="V50" s="104">
        <f t="shared" si="5"/>
        <v>23</v>
      </c>
      <c r="W50" s="104">
        <v>25</v>
      </c>
      <c r="X50" s="104">
        <v>1</v>
      </c>
      <c r="Y50" s="104">
        <v>20</v>
      </c>
      <c r="Z50" s="104">
        <v>10</v>
      </c>
      <c r="AA50" s="104" t="s">
        <v>12</v>
      </c>
      <c r="AB50" s="104">
        <f t="shared" si="8"/>
        <v>1.9833333333333334</v>
      </c>
      <c r="AC50" s="104">
        <f>(((((Q50+AL50+AM50)/2)*1.5+((Y50+S50+U50+T50)*X50))/36)/2)*2</f>
        <v>1.9833333333333334</v>
      </c>
      <c r="AD50" s="104"/>
      <c r="AE50" s="104">
        <f t="shared" si="6"/>
        <v>17.5</v>
      </c>
      <c r="AF50" s="104">
        <f>1.98333333333333*25</f>
        <v>49.58333333333325</v>
      </c>
      <c r="AG50" s="104">
        <f>1.98333333333333*25</f>
        <v>49.58333333333325</v>
      </c>
      <c r="AH50" s="104"/>
      <c r="AI50" s="106" t="s">
        <v>24</v>
      </c>
      <c r="AJ50" s="104">
        <v>10</v>
      </c>
      <c r="AK50" s="104">
        <v>40</v>
      </c>
      <c r="AL50" s="104">
        <v>4</v>
      </c>
      <c r="AM50" s="104">
        <v>4</v>
      </c>
      <c r="AN50" s="104">
        <v>3</v>
      </c>
      <c r="AO50" s="104" t="s">
        <v>35</v>
      </c>
      <c r="AP50" s="104" t="s">
        <v>146</v>
      </c>
      <c r="AQ50" s="104">
        <v>3.5</v>
      </c>
      <c r="AR50" s="104" t="s">
        <v>158</v>
      </c>
      <c r="AS50" s="113"/>
    </row>
    <row r="51" spans="1:45" ht="33.75">
      <c r="A51" s="105" t="s">
        <v>42</v>
      </c>
      <c r="B51" s="104" t="s">
        <v>23</v>
      </c>
      <c r="C51" s="104" t="s">
        <v>36</v>
      </c>
      <c r="D51" s="104" t="s">
        <v>24</v>
      </c>
      <c r="E51" s="104" t="s">
        <v>45</v>
      </c>
      <c r="F51" s="104" t="s">
        <v>46</v>
      </c>
      <c r="G51" s="104" t="s">
        <v>37</v>
      </c>
      <c r="H51" s="104" t="s">
        <v>38</v>
      </c>
      <c r="I51" s="104" t="s">
        <v>37</v>
      </c>
      <c r="J51" s="104" t="s">
        <v>38</v>
      </c>
      <c r="K51" s="104" t="s">
        <v>29</v>
      </c>
      <c r="L51" s="104"/>
      <c r="M51" s="104" t="s">
        <v>32</v>
      </c>
      <c r="N51" s="104"/>
      <c r="O51" s="104"/>
      <c r="P51" s="104" t="s">
        <v>164</v>
      </c>
      <c r="Q51" s="104">
        <v>60</v>
      </c>
      <c r="R51" s="104">
        <v>7</v>
      </c>
      <c r="S51" s="104">
        <v>0.2</v>
      </c>
      <c r="T51" s="104">
        <v>0.1</v>
      </c>
      <c r="U51" s="104">
        <v>0.1</v>
      </c>
      <c r="V51" s="104">
        <f t="shared" si="5"/>
        <v>23</v>
      </c>
      <c r="W51" s="104">
        <v>25</v>
      </c>
      <c r="X51" s="104">
        <v>1</v>
      </c>
      <c r="Y51" s="104">
        <v>20</v>
      </c>
      <c r="Z51" s="104">
        <v>10</v>
      </c>
      <c r="AA51" s="104" t="s">
        <v>12</v>
      </c>
      <c r="AB51" s="104">
        <f>((((Q51+AL51+AM51)/2)*1.5+((Y51+S51+U51+T51)*X51))/36)*2</f>
        <v>3.9666666666666668</v>
      </c>
      <c r="AC51" s="104">
        <f>((((Q51+AL51+AM51)/2)*1.5+((Y51+S51+U51+T51)*X51))/36)*2</f>
        <v>3.9666666666666668</v>
      </c>
      <c r="AD51" s="104"/>
      <c r="AE51" s="104">
        <f>ROUND(X51*35,2)</f>
        <v>35</v>
      </c>
      <c r="AF51" s="104">
        <f>3.96666666666667*25</f>
        <v>99.166666666666742</v>
      </c>
      <c r="AG51" s="104">
        <f>3.96666666666667*25</f>
        <v>99.166666666666742</v>
      </c>
      <c r="AH51" s="104"/>
      <c r="AI51" s="106" t="s">
        <v>24</v>
      </c>
      <c r="AJ51" s="104">
        <v>10</v>
      </c>
      <c r="AK51" s="104">
        <v>40</v>
      </c>
      <c r="AL51" s="104">
        <v>4</v>
      </c>
      <c r="AM51" s="104">
        <v>4</v>
      </c>
      <c r="AN51" s="104">
        <v>3</v>
      </c>
      <c r="AO51" s="104" t="s">
        <v>35</v>
      </c>
      <c r="AP51" s="104" t="s">
        <v>146</v>
      </c>
      <c r="AQ51" s="104">
        <v>3.5</v>
      </c>
      <c r="AR51" s="104" t="s">
        <v>158</v>
      </c>
      <c r="AS51" s="113"/>
    </row>
    <row r="52" spans="1:45" ht="33.75">
      <c r="A52" s="105" t="s">
        <v>67</v>
      </c>
      <c r="B52" s="104" t="s">
        <v>23</v>
      </c>
      <c r="C52" s="104" t="s">
        <v>36</v>
      </c>
      <c r="D52" s="104" t="s">
        <v>24</v>
      </c>
      <c r="E52" s="104" t="s">
        <v>45</v>
      </c>
      <c r="F52" s="104" t="s">
        <v>46</v>
      </c>
      <c r="G52" s="104" t="s">
        <v>37</v>
      </c>
      <c r="H52" s="104" t="s">
        <v>38</v>
      </c>
      <c r="I52" s="104" t="s">
        <v>37</v>
      </c>
      <c r="J52" s="104" t="s">
        <v>38</v>
      </c>
      <c r="K52" s="104" t="s">
        <v>29</v>
      </c>
      <c r="L52" s="104"/>
      <c r="M52" s="104" t="s">
        <v>24</v>
      </c>
      <c r="N52" s="104" t="s">
        <v>37</v>
      </c>
      <c r="O52" s="104" t="s">
        <v>38</v>
      </c>
      <c r="P52" s="104" t="s">
        <v>162</v>
      </c>
      <c r="Q52" s="104">
        <v>60</v>
      </c>
      <c r="R52" s="104">
        <v>7</v>
      </c>
      <c r="S52" s="104">
        <v>0.2</v>
      </c>
      <c r="T52" s="104">
        <v>0.1</v>
      </c>
      <c r="U52" s="104">
        <v>0.1</v>
      </c>
      <c r="V52" s="104">
        <f>(Q52-(R52*2))/2</f>
        <v>23</v>
      </c>
      <c r="W52" s="104">
        <v>25</v>
      </c>
      <c r="X52" s="104">
        <v>1</v>
      </c>
      <c r="Y52" s="104">
        <v>20</v>
      </c>
      <c r="Z52" s="104">
        <v>10</v>
      </c>
      <c r="AA52" s="104" t="s">
        <v>12</v>
      </c>
      <c r="AB52" s="104">
        <f>(((((Q52+AL52+AM52)/2)*1.5+((Y52+S52+U52+T52)*X52))/36)/2)*2</f>
        <v>2.0250000000000004</v>
      </c>
      <c r="AC52" s="104">
        <f>(((((Q52+AL52+AM52)/2)*1.5+((Y52+S52+U52+T52)*X52))/36)/2)*2</f>
        <v>2.0250000000000004</v>
      </c>
      <c r="AD52" s="104">
        <f>((((Q52-R52*2)*1.5)+(Z52+S52)*2)*X52/36)/2</f>
        <v>1.2416666666666667</v>
      </c>
      <c r="AE52" s="104">
        <f>ROUND((X52*35)/2,2)</f>
        <v>17.5</v>
      </c>
      <c r="AF52" s="104">
        <f>2.025*25</f>
        <v>50.625</v>
      </c>
      <c r="AG52" s="104">
        <f>2.025*25</f>
        <v>50.625</v>
      </c>
      <c r="AH52" s="104">
        <f>2.025*10</f>
        <v>20.25</v>
      </c>
      <c r="AI52" s="106" t="s">
        <v>24</v>
      </c>
      <c r="AJ52" s="104">
        <v>9</v>
      </c>
      <c r="AK52" s="104">
        <v>40</v>
      </c>
      <c r="AL52" s="104">
        <v>5</v>
      </c>
      <c r="AM52" s="104">
        <v>5</v>
      </c>
      <c r="AN52" s="104">
        <v>2</v>
      </c>
      <c r="AO52" s="104" t="s">
        <v>35</v>
      </c>
      <c r="AP52" s="104" t="s">
        <v>146</v>
      </c>
      <c r="AQ52" s="104">
        <v>3.5</v>
      </c>
      <c r="AR52" s="104" t="s">
        <v>158</v>
      </c>
      <c r="AS52" s="113"/>
    </row>
    <row r="53" spans="1:45" ht="33.75">
      <c r="A53" s="105" t="s">
        <v>67</v>
      </c>
      <c r="B53" s="104" t="s">
        <v>23</v>
      </c>
      <c r="C53" s="104" t="s">
        <v>36</v>
      </c>
      <c r="D53" s="104" t="s">
        <v>24</v>
      </c>
      <c r="E53" s="104" t="s">
        <v>45</v>
      </c>
      <c r="F53" s="104" t="s">
        <v>46</v>
      </c>
      <c r="G53" s="104" t="s">
        <v>37</v>
      </c>
      <c r="H53" s="104" t="s">
        <v>38</v>
      </c>
      <c r="I53" s="104" t="s">
        <v>37</v>
      </c>
      <c r="J53" s="104" t="s">
        <v>38</v>
      </c>
      <c r="K53" s="104" t="s">
        <v>191</v>
      </c>
      <c r="L53" s="104"/>
      <c r="M53" s="104" t="s">
        <v>24</v>
      </c>
      <c r="N53" s="104" t="s">
        <v>37</v>
      </c>
      <c r="O53" s="104" t="s">
        <v>38</v>
      </c>
      <c r="P53" s="104" t="s">
        <v>162</v>
      </c>
      <c r="Q53" s="104">
        <v>60</v>
      </c>
      <c r="R53" s="104">
        <v>7</v>
      </c>
      <c r="S53" s="104">
        <v>0.2</v>
      </c>
      <c r="T53" s="104">
        <v>0.1</v>
      </c>
      <c r="U53" s="104">
        <v>0.1</v>
      </c>
      <c r="V53" s="104">
        <f>(Q53-(R53*2))/2</f>
        <v>23</v>
      </c>
      <c r="W53" s="104">
        <v>25</v>
      </c>
      <c r="X53" s="104">
        <v>1</v>
      </c>
      <c r="Y53" s="104">
        <v>20</v>
      </c>
      <c r="Z53" s="104">
        <v>10</v>
      </c>
      <c r="AA53" s="104" t="s">
        <v>12</v>
      </c>
      <c r="AB53" s="104">
        <f>(((((Q53+AL53+AM53)/2)*1.5+((Y53+S53+U53+T53)*X53))/36)/2)</f>
        <v>1.0125000000000002</v>
      </c>
      <c r="AC53" s="104">
        <f>(((((Q53+AL53+AM53)/2)*1.5+((Y53+S53+U53+T53)*X53))/36)/2)</f>
        <v>1.0125000000000002</v>
      </c>
      <c r="AD53" s="104">
        <f>((((Q53-R53*2)*1.5)+(Z53+S53)*2)*X53/36)/2</f>
        <v>1.2416666666666667</v>
      </c>
      <c r="AE53" s="104">
        <f>ROUND((X53*35)/2,2)</f>
        <v>17.5</v>
      </c>
      <c r="AF53" s="104">
        <f>1.0125*25</f>
        <v>25.3125</v>
      </c>
      <c r="AG53" s="104">
        <f>1.0125*25</f>
        <v>25.3125</v>
      </c>
      <c r="AH53" s="104">
        <f>1.0125*10</f>
        <v>10.125</v>
      </c>
      <c r="AI53" s="106" t="s">
        <v>24</v>
      </c>
      <c r="AJ53" s="104">
        <v>9</v>
      </c>
      <c r="AK53" s="104">
        <v>40</v>
      </c>
      <c r="AL53" s="104">
        <v>5</v>
      </c>
      <c r="AM53" s="104">
        <v>5</v>
      </c>
      <c r="AN53" s="104">
        <v>2</v>
      </c>
      <c r="AO53" s="104" t="s">
        <v>35</v>
      </c>
      <c r="AP53" s="104" t="s">
        <v>146</v>
      </c>
      <c r="AQ53" s="104">
        <v>3.5</v>
      </c>
      <c r="AR53" s="104" t="s">
        <v>158</v>
      </c>
      <c r="AS53" s="113"/>
    </row>
    <row r="54" spans="1:45" ht="33.75">
      <c r="A54" s="105" t="s">
        <v>67</v>
      </c>
      <c r="B54" s="104" t="s">
        <v>23</v>
      </c>
      <c r="C54" s="104" t="s">
        <v>175</v>
      </c>
      <c r="D54" s="104" t="s">
        <v>24</v>
      </c>
      <c r="E54" s="104" t="s">
        <v>45</v>
      </c>
      <c r="F54" s="104" t="s">
        <v>46</v>
      </c>
      <c r="G54" s="104" t="s">
        <v>37</v>
      </c>
      <c r="H54" s="104" t="s">
        <v>38</v>
      </c>
      <c r="I54" s="104" t="s">
        <v>37</v>
      </c>
      <c r="J54" s="104" t="s">
        <v>38</v>
      </c>
      <c r="K54" s="104" t="s">
        <v>191</v>
      </c>
      <c r="L54" s="104"/>
      <c r="M54" s="104" t="s">
        <v>24</v>
      </c>
      <c r="N54" s="104" t="s">
        <v>37</v>
      </c>
      <c r="O54" s="104" t="s">
        <v>38</v>
      </c>
      <c r="P54" s="104" t="s">
        <v>162</v>
      </c>
      <c r="Q54" s="104">
        <v>60</v>
      </c>
      <c r="R54" s="104">
        <v>7</v>
      </c>
      <c r="S54" s="104">
        <v>12</v>
      </c>
      <c r="T54" s="104">
        <v>25</v>
      </c>
      <c r="U54" s="104"/>
      <c r="V54" s="104">
        <f>(Q54-(AN54*2))/2</f>
        <v>28</v>
      </c>
      <c r="W54" s="104">
        <v>25</v>
      </c>
      <c r="X54" s="104">
        <v>1</v>
      </c>
      <c r="Y54" s="104">
        <v>20</v>
      </c>
      <c r="Z54" s="104">
        <v>10</v>
      </c>
      <c r="AA54" s="104" t="s">
        <v>12</v>
      </c>
      <c r="AB54" s="104">
        <f>((((Q54-AN54*2)*1.5)+(Y54+Z54*4)+(S54+U54*2)*X54)*2/36)/2</f>
        <v>4.333333333333333</v>
      </c>
      <c r="AC54" s="104">
        <f>((((Q54-AN54*2)*1.5)+(Y54+Z54*4)+(S54+U54*2)*X54)*2/36)/2</f>
        <v>4.333333333333333</v>
      </c>
      <c r="AD54" s="104">
        <f>(((Q54-AN54*2)*1.5+(Z54+Y54+S54)*2)*X54/36)/2</f>
        <v>2.3333333333333335</v>
      </c>
      <c r="AE54" s="104">
        <f>ROUND((X54*35)/2,2)</f>
        <v>17.5</v>
      </c>
      <c r="AF54" s="104">
        <f>4.33333333333333*25</f>
        <v>108.33333333333326</v>
      </c>
      <c r="AG54" s="104">
        <f>4.33333333333333*25</f>
        <v>108.33333333333326</v>
      </c>
      <c r="AH54" s="104">
        <f>4.33333333333333*10</f>
        <v>43.3333333333333</v>
      </c>
      <c r="AI54" s="106" t="s">
        <v>24</v>
      </c>
      <c r="AJ54" s="104">
        <v>9</v>
      </c>
      <c r="AK54" s="104">
        <v>40</v>
      </c>
      <c r="AL54" s="104">
        <v>5</v>
      </c>
      <c r="AM54" s="104">
        <v>5</v>
      </c>
      <c r="AN54" s="104">
        <v>2</v>
      </c>
      <c r="AO54" s="104" t="s">
        <v>35</v>
      </c>
      <c r="AP54" s="104" t="s">
        <v>146</v>
      </c>
      <c r="AQ54" s="104">
        <v>3.5</v>
      </c>
      <c r="AR54" s="104" t="s">
        <v>158</v>
      </c>
      <c r="AS54" s="113"/>
    </row>
    <row r="55" spans="1:45" ht="33.75">
      <c r="A55" s="105" t="s">
        <v>67</v>
      </c>
      <c r="B55" s="104" t="s">
        <v>23</v>
      </c>
      <c r="C55" s="104" t="s">
        <v>175</v>
      </c>
      <c r="D55" s="104" t="s">
        <v>24</v>
      </c>
      <c r="E55" s="104" t="s">
        <v>45</v>
      </c>
      <c r="F55" s="104" t="s">
        <v>51</v>
      </c>
      <c r="G55" s="104" t="s">
        <v>37</v>
      </c>
      <c r="H55" s="104" t="s">
        <v>38</v>
      </c>
      <c r="I55" s="104" t="s">
        <v>37</v>
      </c>
      <c r="J55" s="104" t="s">
        <v>38</v>
      </c>
      <c r="K55" s="104" t="s">
        <v>191</v>
      </c>
      <c r="L55" s="104"/>
      <c r="M55" s="104" t="s">
        <v>24</v>
      </c>
      <c r="N55" s="104" t="s">
        <v>37</v>
      </c>
      <c r="O55" s="104" t="s">
        <v>38</v>
      </c>
      <c r="P55" s="104" t="s">
        <v>162</v>
      </c>
      <c r="Q55" s="104">
        <v>60</v>
      </c>
      <c r="R55" s="104">
        <v>7</v>
      </c>
      <c r="S55" s="104">
        <v>12</v>
      </c>
      <c r="T55" s="104">
        <v>25</v>
      </c>
      <c r="U55" s="104"/>
      <c r="V55" s="104">
        <f>(Q55-(AN55*2))/2</f>
        <v>28</v>
      </c>
      <c r="W55" s="104">
        <v>25</v>
      </c>
      <c r="X55" s="104">
        <v>1</v>
      </c>
      <c r="Y55" s="104">
        <v>20</v>
      </c>
      <c r="Z55" s="104">
        <v>10</v>
      </c>
      <c r="AA55" s="104" t="s">
        <v>12</v>
      </c>
      <c r="AB55" s="104">
        <f>(((((Q55-AN55*2)*1.5)+(Y55+Z55*4)+(S55+U55*2)*X55)*2/36)/2)/2</f>
        <v>2.1666666666666665</v>
      </c>
      <c r="AC55" s="104">
        <f>(((((Q55-AN55*2)*1.5)+(Y55+Z55*4)+(S55+U55*2)*X55)*2/36)/2)/2</f>
        <v>2.1666666666666665</v>
      </c>
      <c r="AD55" s="104">
        <f>(((Q55-AN55*2)*1.5+(Z55+Y55+S55)*2)*X55/36)/2</f>
        <v>2.3333333333333335</v>
      </c>
      <c r="AE55" s="104">
        <f>ROUND((X55*35)/2,2)</f>
        <v>17.5</v>
      </c>
      <c r="AF55" s="104">
        <f>2.16666666666667*25</f>
        <v>54.16666666666675</v>
      </c>
      <c r="AG55" s="104">
        <f>2.16666666666667*25</f>
        <v>54.16666666666675</v>
      </c>
      <c r="AH55" s="104">
        <f>2.16666666666667*10</f>
        <v>21.6666666666667</v>
      </c>
      <c r="AI55" s="106" t="s">
        <v>24</v>
      </c>
      <c r="AJ55" s="104">
        <v>9</v>
      </c>
      <c r="AK55" s="104">
        <v>40</v>
      </c>
      <c r="AL55" s="104">
        <v>5</v>
      </c>
      <c r="AM55" s="104">
        <v>5</v>
      </c>
      <c r="AN55" s="104">
        <v>2</v>
      </c>
      <c r="AO55" s="104" t="s">
        <v>35</v>
      </c>
      <c r="AP55" s="104" t="s">
        <v>146</v>
      </c>
      <c r="AQ55" s="104">
        <v>3.5</v>
      </c>
      <c r="AR55" s="104" t="s">
        <v>158</v>
      </c>
      <c r="AS55" s="113"/>
    </row>
    <row r="56" spans="1:45" ht="33.75">
      <c r="A56" s="105" t="s">
        <v>67</v>
      </c>
      <c r="B56" s="104" t="s">
        <v>23</v>
      </c>
      <c r="C56" s="104" t="s">
        <v>175</v>
      </c>
      <c r="D56" s="104" t="s">
        <v>24</v>
      </c>
      <c r="E56" s="104" t="s">
        <v>45</v>
      </c>
      <c r="F56" s="104" t="s">
        <v>51</v>
      </c>
      <c r="G56" s="104" t="s">
        <v>37</v>
      </c>
      <c r="H56" s="104" t="s">
        <v>38</v>
      </c>
      <c r="I56" s="104" t="s">
        <v>37</v>
      </c>
      <c r="J56" s="104" t="s">
        <v>38</v>
      </c>
      <c r="K56" s="104" t="s">
        <v>191</v>
      </c>
      <c r="L56" s="104"/>
      <c r="M56" s="104" t="s">
        <v>24</v>
      </c>
      <c r="N56" s="104" t="s">
        <v>37</v>
      </c>
      <c r="O56" s="104" t="s">
        <v>38</v>
      </c>
      <c r="P56" s="104" t="s">
        <v>164</v>
      </c>
      <c r="Q56" s="104">
        <v>60</v>
      </c>
      <c r="R56" s="104">
        <v>7</v>
      </c>
      <c r="S56" s="104">
        <v>12</v>
      </c>
      <c r="T56" s="104">
        <v>25</v>
      </c>
      <c r="U56" s="104"/>
      <c r="V56" s="104">
        <f>(Q56-(AN56*2))/2</f>
        <v>28</v>
      </c>
      <c r="W56" s="104">
        <v>25</v>
      </c>
      <c r="X56" s="104">
        <v>1</v>
      </c>
      <c r="Y56" s="104">
        <v>20</v>
      </c>
      <c r="Z56" s="104">
        <v>10</v>
      </c>
      <c r="AA56" s="104" t="s">
        <v>12</v>
      </c>
      <c r="AB56" s="104">
        <f>((((Q56-AN56*2)*1.5)+(Y56+Z56*4)+(S56+U56*2)*X56)*2/36)/2</f>
        <v>4.333333333333333</v>
      </c>
      <c r="AC56" s="104">
        <f>((((Q56-AN56*2)*1.5)+(Y56+Z56*4)+(S56+U56*2)*X56)*2/36)/2</f>
        <v>4.333333333333333</v>
      </c>
      <c r="AD56" s="104">
        <f>((Q56-AN56*2)*1.5+(Z56+Y56+S56)*2)*X56/36</f>
        <v>4.666666666666667</v>
      </c>
      <c r="AE56" s="104">
        <f>ROUND(X56*35,2)</f>
        <v>35</v>
      </c>
      <c r="AF56" s="104">
        <f>4.33333333333333*25</f>
        <v>108.33333333333326</v>
      </c>
      <c r="AG56" s="104">
        <f>4.33333333333333*25</f>
        <v>108.33333333333326</v>
      </c>
      <c r="AH56" s="104">
        <f>4.33333333333333*10</f>
        <v>43.3333333333333</v>
      </c>
      <c r="AI56" s="106" t="s">
        <v>24</v>
      </c>
      <c r="AJ56" s="104">
        <v>9</v>
      </c>
      <c r="AK56" s="104">
        <v>40</v>
      </c>
      <c r="AL56" s="104">
        <v>5</v>
      </c>
      <c r="AM56" s="104">
        <v>5</v>
      </c>
      <c r="AN56" s="104">
        <v>2</v>
      </c>
      <c r="AO56" s="104" t="s">
        <v>35</v>
      </c>
      <c r="AP56" s="104" t="s">
        <v>146</v>
      </c>
      <c r="AQ56" s="104">
        <v>3.5</v>
      </c>
      <c r="AR56" s="104" t="s">
        <v>158</v>
      </c>
      <c r="AS56" s="113"/>
    </row>
    <row r="57" spans="1:45" ht="33.75">
      <c r="A57" s="114" t="s">
        <v>67</v>
      </c>
      <c r="B57" s="115" t="s">
        <v>23</v>
      </c>
      <c r="C57" s="115" t="s">
        <v>175</v>
      </c>
      <c r="D57" s="115" t="s">
        <v>24</v>
      </c>
      <c r="E57" s="115" t="s">
        <v>45</v>
      </c>
      <c r="F57" s="115" t="s">
        <v>46</v>
      </c>
      <c r="G57" s="115" t="s">
        <v>37</v>
      </c>
      <c r="H57" s="115" t="s">
        <v>38</v>
      </c>
      <c r="I57" s="115" t="s">
        <v>37</v>
      </c>
      <c r="J57" s="115" t="s">
        <v>38</v>
      </c>
      <c r="K57" s="115" t="s">
        <v>191</v>
      </c>
      <c r="L57" s="115"/>
      <c r="M57" s="115" t="s">
        <v>24</v>
      </c>
      <c r="N57" s="115" t="s">
        <v>37</v>
      </c>
      <c r="O57" s="115" t="s">
        <v>38</v>
      </c>
      <c r="P57" s="115" t="s">
        <v>164</v>
      </c>
      <c r="Q57" s="115">
        <v>60</v>
      </c>
      <c r="R57" s="115">
        <v>7</v>
      </c>
      <c r="S57" s="115">
        <v>12</v>
      </c>
      <c r="T57" s="115">
        <v>25</v>
      </c>
      <c r="U57" s="115"/>
      <c r="V57" s="115">
        <f>(Q57-(AN57*2))/2</f>
        <v>28</v>
      </c>
      <c r="W57" s="115">
        <v>25</v>
      </c>
      <c r="X57" s="115">
        <v>1</v>
      </c>
      <c r="Y57" s="115">
        <v>20</v>
      </c>
      <c r="Z57" s="115">
        <v>10</v>
      </c>
      <c r="AA57" s="115" t="s">
        <v>12</v>
      </c>
      <c r="AB57" s="115">
        <f>((((Q57-AN57*2)*1.5)+(Y57+Z57*4)+(S57+U57*2)*X57)*2/36)</f>
        <v>8.6666666666666661</v>
      </c>
      <c r="AC57" s="115">
        <f>((((Q57-AN57*2)*1.5)+(Y57+Z57*4)+(S57+U57*2)*X57)*2/36)</f>
        <v>8.6666666666666661</v>
      </c>
      <c r="AD57" s="115">
        <f>((Q57-AN57*2)*1.5+(Z57+Y57+S57)*2)*X57/36</f>
        <v>4.666666666666667</v>
      </c>
      <c r="AE57" s="115">
        <f>ROUND(X57*35,2)</f>
        <v>35</v>
      </c>
      <c r="AF57" s="115">
        <f>8.66666666666667*25</f>
        <v>216.66666666666674</v>
      </c>
      <c r="AG57" s="115">
        <f>8.66666666666667*25</f>
        <v>216.66666666666674</v>
      </c>
      <c r="AH57" s="115">
        <f>8.66666666666667*10</f>
        <v>86.6666666666667</v>
      </c>
      <c r="AI57" s="116" t="s">
        <v>24</v>
      </c>
      <c r="AJ57" s="115">
        <v>9</v>
      </c>
      <c r="AK57" s="115">
        <v>40</v>
      </c>
      <c r="AL57" s="115">
        <v>5</v>
      </c>
      <c r="AM57" s="115">
        <v>5</v>
      </c>
      <c r="AN57" s="115">
        <v>2</v>
      </c>
      <c r="AO57" s="115" t="s">
        <v>35</v>
      </c>
      <c r="AP57" s="115" t="s">
        <v>146</v>
      </c>
      <c r="AQ57" s="115">
        <v>3.5</v>
      </c>
      <c r="AR57" s="115" t="s">
        <v>158</v>
      </c>
      <c r="AS57" s="117"/>
    </row>
    <row r="58" spans="1:45">
      <c r="A58" s="111"/>
      <c r="B58" s="111"/>
      <c r="C58" s="111"/>
      <c r="D58" s="111"/>
      <c r="E58" s="111"/>
      <c r="F58" s="104"/>
      <c r="G58" s="111"/>
      <c r="H58" s="111"/>
      <c r="I58" s="111"/>
      <c r="J58" s="111"/>
      <c r="K58" s="111"/>
      <c r="L58" s="111"/>
      <c r="M58" s="111"/>
      <c r="N58" s="111"/>
      <c r="O58" s="111"/>
      <c r="P58" s="104"/>
      <c r="Q58" s="111"/>
      <c r="R58" s="111"/>
      <c r="S58" s="104"/>
      <c r="T58" s="104"/>
      <c r="U58" s="104"/>
      <c r="V58" s="104"/>
      <c r="W58" s="104"/>
      <c r="X58" s="104"/>
      <c r="Y58" s="104"/>
      <c r="Z58" s="104"/>
      <c r="AA58" s="111"/>
      <c r="AB58" s="104"/>
      <c r="AC58" s="104"/>
      <c r="AD58" s="104"/>
      <c r="AE58" s="104"/>
      <c r="AF58" s="104"/>
      <c r="AG58" s="104"/>
      <c r="AH58" s="104"/>
      <c r="AI58" s="112"/>
      <c r="AJ58" s="111"/>
      <c r="AK58" s="111"/>
      <c r="AL58" s="111"/>
      <c r="AM58" s="111"/>
      <c r="AN58" s="111"/>
      <c r="AO58" s="111"/>
      <c r="AP58" s="111"/>
      <c r="AQ58" s="111"/>
      <c r="AR58" s="104"/>
      <c r="AS58" s="104"/>
    </row>
    <row r="59" spans="1:45">
      <c r="A59" s="111"/>
      <c r="B59" s="111"/>
      <c r="C59" s="111"/>
      <c r="D59" s="111"/>
      <c r="E59" s="111"/>
      <c r="F59" s="104"/>
      <c r="G59" s="111"/>
      <c r="H59" s="111"/>
      <c r="I59" s="111"/>
      <c r="J59" s="111"/>
      <c r="K59" s="111"/>
      <c r="L59" s="111"/>
      <c r="M59" s="111"/>
      <c r="N59" s="111"/>
      <c r="O59" s="111"/>
      <c r="P59" s="104"/>
      <c r="Q59" s="111"/>
      <c r="R59" s="111"/>
      <c r="S59" s="104"/>
      <c r="T59" s="104"/>
      <c r="U59" s="104"/>
      <c r="V59" s="104"/>
      <c r="W59" s="104"/>
      <c r="X59" s="104"/>
      <c r="Y59" s="104"/>
      <c r="Z59" s="104"/>
      <c r="AA59" s="111"/>
      <c r="AB59" s="104"/>
      <c r="AC59" s="104"/>
      <c r="AD59" s="104"/>
      <c r="AE59" s="104"/>
      <c r="AF59" s="104"/>
      <c r="AG59" s="104"/>
      <c r="AH59" s="104"/>
      <c r="AI59" s="112"/>
      <c r="AJ59" s="111"/>
      <c r="AK59" s="111"/>
      <c r="AL59" s="111"/>
      <c r="AM59" s="111"/>
      <c r="AN59" s="111"/>
      <c r="AO59" s="111"/>
      <c r="AP59" s="111"/>
      <c r="AQ59" s="111"/>
      <c r="AR59" s="104"/>
      <c r="AS59" s="104"/>
    </row>
    <row r="60" spans="1:45">
      <c r="A60" s="111"/>
      <c r="B60" s="111"/>
      <c r="C60" s="111"/>
      <c r="D60" s="111"/>
      <c r="E60" s="111"/>
      <c r="F60" s="104"/>
      <c r="G60" s="111"/>
      <c r="H60" s="111"/>
      <c r="I60" s="111"/>
      <c r="J60" s="111"/>
      <c r="K60" s="111"/>
      <c r="L60" s="111"/>
      <c r="M60" s="111"/>
      <c r="N60" s="111"/>
      <c r="O60" s="111"/>
      <c r="P60" s="104"/>
      <c r="Q60" s="111"/>
      <c r="R60" s="111"/>
      <c r="S60" s="104"/>
      <c r="T60" s="104"/>
      <c r="U60" s="104"/>
      <c r="V60" s="104"/>
      <c r="W60" s="104"/>
      <c r="X60" s="104"/>
      <c r="Y60" s="104"/>
      <c r="Z60" s="104"/>
      <c r="AA60" s="111"/>
      <c r="AB60" s="104"/>
      <c r="AC60" s="104"/>
      <c r="AD60" s="104"/>
      <c r="AE60" s="104"/>
      <c r="AF60" s="104"/>
      <c r="AG60" s="104"/>
      <c r="AH60" s="104"/>
      <c r="AI60" s="112"/>
      <c r="AJ60" s="111"/>
      <c r="AK60" s="111"/>
      <c r="AL60" s="111"/>
      <c r="AM60" s="111"/>
      <c r="AN60" s="111"/>
      <c r="AO60" s="111"/>
      <c r="AP60" s="111"/>
      <c r="AQ60" s="111"/>
      <c r="AR60" s="104"/>
      <c r="AS60" s="104"/>
    </row>
    <row r="61" spans="1:45">
      <c r="A61" s="111"/>
      <c r="B61" s="111"/>
      <c r="C61" s="111"/>
      <c r="D61" s="111"/>
      <c r="E61" s="111"/>
      <c r="F61" s="104"/>
      <c r="G61" s="111"/>
      <c r="H61" s="111"/>
      <c r="I61" s="111"/>
      <c r="J61" s="111"/>
      <c r="K61" s="111"/>
      <c r="L61" s="111"/>
      <c r="M61" s="111"/>
      <c r="N61" s="111"/>
      <c r="O61" s="111"/>
      <c r="P61" s="104"/>
      <c r="Q61" s="111"/>
      <c r="R61" s="111"/>
      <c r="S61" s="104"/>
      <c r="T61" s="104"/>
      <c r="U61" s="104"/>
      <c r="V61" s="104"/>
      <c r="W61" s="104"/>
      <c r="X61" s="104"/>
      <c r="Y61" s="104"/>
      <c r="Z61" s="104"/>
      <c r="AA61" s="111"/>
      <c r="AB61" s="104"/>
      <c r="AC61" s="104"/>
      <c r="AD61" s="104"/>
      <c r="AE61" s="104"/>
      <c r="AF61" s="104"/>
      <c r="AG61" s="104"/>
      <c r="AH61" s="104"/>
      <c r="AI61" s="112"/>
      <c r="AJ61" s="111"/>
      <c r="AK61" s="111"/>
      <c r="AL61" s="111"/>
      <c r="AM61" s="111"/>
      <c r="AN61" s="111"/>
      <c r="AO61" s="111"/>
      <c r="AP61" s="111"/>
      <c r="AQ61" s="111"/>
      <c r="AR61" s="104"/>
      <c r="AS61" s="104"/>
    </row>
    <row r="62" spans="1:45">
      <c r="A62" s="111"/>
      <c r="B62" s="111"/>
      <c r="C62" s="111"/>
      <c r="D62" s="111"/>
      <c r="E62" s="111"/>
      <c r="F62" s="104"/>
      <c r="G62" s="111"/>
      <c r="H62" s="111"/>
      <c r="I62" s="111"/>
      <c r="J62" s="111"/>
      <c r="K62" s="111"/>
      <c r="L62" s="111"/>
      <c r="M62" s="111"/>
      <c r="N62" s="111"/>
      <c r="O62" s="111"/>
      <c r="P62" s="104"/>
      <c r="Q62" s="111"/>
      <c r="R62" s="111"/>
      <c r="S62" s="104"/>
      <c r="T62" s="104"/>
      <c r="U62" s="104"/>
      <c r="V62" s="104"/>
      <c r="W62" s="104"/>
      <c r="X62" s="104"/>
      <c r="Y62" s="104"/>
      <c r="Z62" s="104"/>
      <c r="AA62" s="111"/>
      <c r="AB62" s="104"/>
      <c r="AC62" s="104"/>
      <c r="AD62" s="104"/>
      <c r="AE62" s="104"/>
      <c r="AF62" s="104"/>
      <c r="AG62" s="104"/>
      <c r="AH62" s="104"/>
      <c r="AI62" s="112"/>
      <c r="AJ62" s="111"/>
      <c r="AK62" s="111"/>
      <c r="AL62" s="111"/>
      <c r="AM62" s="111"/>
      <c r="AN62" s="111"/>
      <c r="AO62" s="111"/>
      <c r="AP62" s="111"/>
      <c r="AQ62" s="111"/>
      <c r="AR62" s="104"/>
      <c r="AS62" s="104"/>
    </row>
    <row r="63" spans="1:45">
      <c r="A63" s="111"/>
      <c r="B63" s="111"/>
      <c r="C63" s="111"/>
      <c r="D63" s="111"/>
      <c r="E63" s="111"/>
      <c r="F63" s="104"/>
      <c r="G63" s="111"/>
      <c r="H63" s="111"/>
      <c r="I63" s="111"/>
      <c r="J63" s="111"/>
      <c r="K63" s="111"/>
      <c r="L63" s="111"/>
      <c r="M63" s="111"/>
      <c r="N63" s="111"/>
      <c r="O63" s="111"/>
      <c r="P63" s="104"/>
      <c r="Q63" s="111"/>
      <c r="R63" s="111"/>
      <c r="S63" s="104"/>
      <c r="T63" s="104"/>
      <c r="U63" s="104"/>
      <c r="V63" s="104"/>
      <c r="W63" s="104"/>
      <c r="X63" s="104"/>
      <c r="Y63" s="104"/>
      <c r="Z63" s="104"/>
      <c r="AA63" s="111"/>
      <c r="AB63" s="104"/>
      <c r="AC63" s="104"/>
      <c r="AD63" s="104"/>
      <c r="AE63" s="104"/>
      <c r="AF63" s="104"/>
      <c r="AG63" s="104"/>
      <c r="AH63" s="104"/>
      <c r="AI63" s="112"/>
      <c r="AJ63" s="111"/>
      <c r="AK63" s="111"/>
      <c r="AL63" s="111"/>
      <c r="AM63" s="111"/>
      <c r="AN63" s="111"/>
      <c r="AO63" s="111"/>
      <c r="AP63" s="111"/>
      <c r="AQ63" s="111"/>
      <c r="AR63" s="104"/>
      <c r="AS63" s="104"/>
    </row>
    <row r="64" spans="1:45">
      <c r="A64" s="111"/>
      <c r="B64" s="111"/>
      <c r="C64" s="111"/>
      <c r="D64" s="111"/>
      <c r="E64" s="111"/>
      <c r="F64" s="104"/>
      <c r="G64" s="111"/>
      <c r="H64" s="111"/>
      <c r="I64" s="111"/>
      <c r="J64" s="111"/>
      <c r="K64" s="111"/>
      <c r="L64" s="111"/>
      <c r="M64" s="111"/>
      <c r="N64" s="111"/>
      <c r="O64" s="111"/>
      <c r="P64" s="104"/>
      <c r="Q64" s="111"/>
      <c r="R64" s="111"/>
      <c r="S64" s="104"/>
      <c r="T64" s="104"/>
      <c r="U64" s="104"/>
      <c r="V64" s="104"/>
      <c r="W64" s="104"/>
      <c r="X64" s="104"/>
      <c r="Y64" s="104"/>
      <c r="Z64" s="104"/>
      <c r="AA64" s="111"/>
      <c r="AB64" s="104"/>
      <c r="AC64" s="104"/>
      <c r="AD64" s="104"/>
      <c r="AE64" s="104"/>
      <c r="AF64" s="104"/>
      <c r="AG64" s="104"/>
      <c r="AH64" s="104"/>
      <c r="AI64" s="112"/>
      <c r="AJ64" s="111"/>
      <c r="AK64" s="111"/>
      <c r="AL64" s="111"/>
      <c r="AM64" s="111"/>
      <c r="AN64" s="111"/>
      <c r="AO64" s="111"/>
      <c r="AP64" s="111"/>
      <c r="AQ64" s="111"/>
      <c r="AR64" s="104"/>
      <c r="AS64" s="104"/>
    </row>
    <row r="65" spans="1:45">
      <c r="A65" s="111"/>
      <c r="B65" s="111"/>
      <c r="C65" s="111"/>
      <c r="D65" s="111"/>
      <c r="E65" s="111"/>
      <c r="F65" s="104"/>
      <c r="G65" s="111"/>
      <c r="H65" s="111"/>
      <c r="I65" s="111"/>
      <c r="J65" s="111"/>
      <c r="K65" s="111"/>
      <c r="L65" s="111"/>
      <c r="M65" s="111"/>
      <c r="N65" s="111"/>
      <c r="O65" s="111"/>
      <c r="P65" s="104"/>
      <c r="Q65" s="111"/>
      <c r="R65" s="111"/>
      <c r="S65" s="104"/>
      <c r="T65" s="104"/>
      <c r="U65" s="104"/>
      <c r="V65" s="104"/>
      <c r="W65" s="104"/>
      <c r="X65" s="104"/>
      <c r="Y65" s="104"/>
      <c r="Z65" s="104"/>
      <c r="AA65" s="111"/>
      <c r="AB65" s="104"/>
      <c r="AC65" s="104"/>
      <c r="AD65" s="104"/>
      <c r="AE65" s="104"/>
      <c r="AF65" s="104"/>
      <c r="AG65" s="104"/>
      <c r="AH65" s="104"/>
      <c r="AI65" s="112"/>
      <c r="AJ65" s="111"/>
      <c r="AK65" s="111"/>
      <c r="AL65" s="111"/>
      <c r="AM65" s="111"/>
      <c r="AN65" s="111"/>
      <c r="AO65" s="111"/>
      <c r="AP65" s="111"/>
      <c r="AQ65" s="111"/>
      <c r="AR65" s="104"/>
      <c r="AS65" s="104"/>
    </row>
    <row r="66" spans="1:45">
      <c r="A66" s="111"/>
      <c r="B66" s="111"/>
      <c r="C66" s="111"/>
      <c r="D66" s="111"/>
      <c r="E66" s="111"/>
      <c r="F66" s="104"/>
      <c r="G66" s="111"/>
      <c r="H66" s="111"/>
      <c r="I66" s="111"/>
      <c r="J66" s="111"/>
      <c r="K66" s="111"/>
      <c r="L66" s="111"/>
      <c r="M66" s="111"/>
      <c r="N66" s="111"/>
      <c r="O66" s="111"/>
      <c r="P66" s="104"/>
      <c r="Q66" s="111"/>
      <c r="R66" s="111"/>
      <c r="S66" s="104"/>
      <c r="T66" s="104"/>
      <c r="U66" s="104"/>
      <c r="V66" s="104"/>
      <c r="W66" s="104"/>
      <c r="X66" s="104"/>
      <c r="Y66" s="104"/>
      <c r="Z66" s="104"/>
      <c r="AA66" s="111"/>
      <c r="AB66" s="104"/>
      <c r="AC66" s="104"/>
      <c r="AD66" s="104"/>
      <c r="AE66" s="104"/>
      <c r="AF66" s="104"/>
      <c r="AG66" s="104"/>
      <c r="AH66" s="104"/>
      <c r="AI66" s="112"/>
      <c r="AJ66" s="111"/>
      <c r="AK66" s="111"/>
      <c r="AL66" s="111"/>
      <c r="AM66" s="111"/>
      <c r="AN66" s="111"/>
      <c r="AO66" s="111"/>
      <c r="AP66" s="111"/>
      <c r="AQ66" s="111"/>
      <c r="AR66" s="104"/>
      <c r="AS66" s="104"/>
    </row>
    <row r="67" spans="1:45">
      <c r="A67" s="111"/>
      <c r="B67" s="111"/>
      <c r="C67" s="111"/>
      <c r="D67" s="111"/>
      <c r="E67" s="111"/>
      <c r="F67" s="104"/>
      <c r="G67" s="111"/>
      <c r="H67" s="111"/>
      <c r="I67" s="111"/>
      <c r="J67" s="111"/>
      <c r="K67" s="111"/>
      <c r="L67" s="111"/>
      <c r="M67" s="111"/>
      <c r="N67" s="111"/>
      <c r="O67" s="111"/>
      <c r="P67" s="104"/>
      <c r="Q67" s="111"/>
      <c r="R67" s="111"/>
      <c r="S67" s="104"/>
      <c r="T67" s="104"/>
      <c r="U67" s="104"/>
      <c r="V67" s="104"/>
      <c r="W67" s="104"/>
      <c r="X67" s="104"/>
      <c r="Y67" s="104"/>
      <c r="Z67" s="104"/>
      <c r="AA67" s="111"/>
      <c r="AB67" s="104"/>
      <c r="AC67" s="104"/>
      <c r="AD67" s="104"/>
      <c r="AE67" s="104"/>
      <c r="AF67" s="104"/>
      <c r="AG67" s="104"/>
      <c r="AH67" s="104"/>
      <c r="AI67" s="112"/>
      <c r="AJ67" s="111"/>
      <c r="AK67" s="111"/>
      <c r="AL67" s="111"/>
      <c r="AM67" s="111"/>
      <c r="AN67" s="111"/>
      <c r="AO67" s="111"/>
      <c r="AP67" s="111"/>
      <c r="AQ67" s="111"/>
      <c r="AR67" s="104"/>
      <c r="AS67" s="104"/>
    </row>
    <row r="68" spans="1:45">
      <c r="A68" s="111"/>
      <c r="B68" s="111"/>
      <c r="C68" s="111"/>
      <c r="D68" s="111"/>
      <c r="E68" s="111"/>
      <c r="F68" s="104"/>
      <c r="G68" s="111"/>
      <c r="H68" s="111"/>
      <c r="I68" s="111"/>
      <c r="J68" s="111"/>
      <c r="K68" s="111"/>
      <c r="L68" s="111"/>
      <c r="M68" s="111"/>
      <c r="N68" s="111"/>
      <c r="O68" s="111"/>
      <c r="P68" s="104"/>
      <c r="Q68" s="111"/>
      <c r="R68" s="111"/>
      <c r="S68" s="104"/>
      <c r="T68" s="104"/>
      <c r="U68" s="104"/>
      <c r="V68" s="104"/>
      <c r="W68" s="104"/>
      <c r="X68" s="104"/>
      <c r="Y68" s="104"/>
      <c r="Z68" s="104"/>
      <c r="AA68" s="111"/>
      <c r="AB68" s="104"/>
      <c r="AC68" s="104"/>
      <c r="AD68" s="104"/>
      <c r="AE68" s="104"/>
      <c r="AF68" s="104"/>
      <c r="AG68" s="104"/>
      <c r="AH68" s="104"/>
      <c r="AI68" s="112"/>
      <c r="AJ68" s="111"/>
      <c r="AK68" s="111"/>
      <c r="AL68" s="111"/>
      <c r="AM68" s="111"/>
      <c r="AN68" s="111"/>
      <c r="AO68" s="111"/>
      <c r="AP68" s="111"/>
      <c r="AQ68" s="111"/>
      <c r="AR68" s="104"/>
      <c r="AS68" s="104"/>
    </row>
    <row r="69" spans="1:45">
      <c r="A69" s="111"/>
      <c r="B69" s="111"/>
      <c r="C69" s="111"/>
      <c r="D69" s="111"/>
      <c r="E69" s="111"/>
      <c r="F69" s="104"/>
      <c r="G69" s="111"/>
      <c r="H69" s="111"/>
      <c r="I69" s="111"/>
      <c r="J69" s="111"/>
      <c r="K69" s="111"/>
      <c r="L69" s="111"/>
      <c r="M69" s="111"/>
      <c r="N69" s="111"/>
      <c r="O69" s="111"/>
      <c r="P69" s="104"/>
      <c r="Q69" s="111"/>
      <c r="R69" s="111"/>
      <c r="S69" s="104"/>
      <c r="T69" s="104"/>
      <c r="U69" s="104"/>
      <c r="V69" s="104"/>
      <c r="W69" s="104"/>
      <c r="X69" s="104"/>
      <c r="Y69" s="104"/>
      <c r="Z69" s="104"/>
      <c r="AA69" s="111"/>
      <c r="AB69" s="104"/>
      <c r="AC69" s="104"/>
      <c r="AD69" s="104"/>
      <c r="AE69" s="104"/>
      <c r="AF69" s="104"/>
      <c r="AG69" s="104"/>
      <c r="AH69" s="104"/>
      <c r="AI69" s="112"/>
      <c r="AJ69" s="111"/>
      <c r="AK69" s="111"/>
      <c r="AL69" s="111"/>
      <c r="AM69" s="111"/>
      <c r="AN69" s="111"/>
      <c r="AO69" s="111"/>
      <c r="AP69" s="111"/>
      <c r="AQ69" s="111"/>
      <c r="AR69" s="104"/>
      <c r="AS69" s="104"/>
    </row>
    <row r="70" spans="1:45">
      <c r="A70" s="111"/>
      <c r="B70" s="111"/>
      <c r="C70" s="111"/>
      <c r="D70" s="111"/>
      <c r="E70" s="111"/>
      <c r="F70" s="104"/>
      <c r="G70" s="111"/>
      <c r="H70" s="111"/>
      <c r="I70" s="111"/>
      <c r="J70" s="111"/>
      <c r="K70" s="111"/>
      <c r="L70" s="111"/>
      <c r="M70" s="111"/>
      <c r="N70" s="111"/>
      <c r="O70" s="111"/>
      <c r="P70" s="104"/>
      <c r="Q70" s="111"/>
      <c r="R70" s="111"/>
      <c r="S70" s="104"/>
      <c r="T70" s="104"/>
      <c r="U70" s="104"/>
      <c r="V70" s="104"/>
      <c r="W70" s="104"/>
      <c r="X70" s="104"/>
      <c r="Y70" s="104"/>
      <c r="Z70" s="104"/>
      <c r="AA70" s="111"/>
      <c r="AB70" s="104"/>
      <c r="AC70" s="104"/>
      <c r="AD70" s="104"/>
      <c r="AE70" s="104"/>
      <c r="AF70" s="104"/>
      <c r="AG70" s="104"/>
      <c r="AH70" s="104"/>
      <c r="AI70" s="112"/>
      <c r="AJ70" s="111"/>
      <c r="AK70" s="111"/>
      <c r="AL70" s="111"/>
      <c r="AM70" s="111"/>
      <c r="AN70" s="111"/>
      <c r="AO70" s="111"/>
      <c r="AP70" s="111"/>
      <c r="AQ70" s="111"/>
      <c r="AR70" s="104"/>
      <c r="AS70" s="104"/>
    </row>
    <row r="71" spans="1:45">
      <c r="A71" s="111"/>
      <c r="B71" s="111"/>
      <c r="C71" s="111"/>
      <c r="D71" s="111"/>
      <c r="E71" s="111"/>
      <c r="F71" s="104"/>
      <c r="G71" s="111"/>
      <c r="H71" s="111"/>
      <c r="I71" s="111"/>
      <c r="J71" s="111"/>
      <c r="K71" s="111"/>
      <c r="L71" s="111"/>
      <c r="M71" s="111"/>
      <c r="N71" s="111"/>
      <c r="O71" s="111"/>
      <c r="P71" s="104"/>
      <c r="Q71" s="111"/>
      <c r="R71" s="111"/>
      <c r="S71" s="104"/>
      <c r="T71" s="104"/>
      <c r="U71" s="104"/>
      <c r="V71" s="104"/>
      <c r="W71" s="104"/>
      <c r="X71" s="104"/>
      <c r="Y71" s="104"/>
      <c r="Z71" s="104"/>
      <c r="AA71" s="111"/>
      <c r="AB71" s="104"/>
      <c r="AC71" s="104"/>
      <c r="AD71" s="104"/>
      <c r="AE71" s="104"/>
      <c r="AF71" s="104"/>
      <c r="AG71" s="104"/>
      <c r="AH71" s="104"/>
      <c r="AI71" s="112"/>
      <c r="AJ71" s="111"/>
      <c r="AK71" s="111"/>
      <c r="AL71" s="111"/>
      <c r="AM71" s="111"/>
      <c r="AN71" s="111"/>
      <c r="AO71" s="111"/>
      <c r="AP71" s="111"/>
      <c r="AQ71" s="111"/>
      <c r="AR71" s="104"/>
      <c r="AS71" s="104"/>
    </row>
    <row r="72" spans="1:45">
      <c r="A72" s="111"/>
      <c r="B72" s="111"/>
      <c r="C72" s="111"/>
      <c r="D72" s="111"/>
      <c r="E72" s="111"/>
      <c r="F72" s="104"/>
      <c r="G72" s="111"/>
      <c r="H72" s="111"/>
      <c r="I72" s="111"/>
      <c r="J72" s="111"/>
      <c r="K72" s="111"/>
      <c r="L72" s="111"/>
      <c r="M72" s="111"/>
      <c r="N72" s="111"/>
      <c r="O72" s="111"/>
      <c r="P72" s="104"/>
      <c r="Q72" s="111"/>
      <c r="R72" s="111"/>
      <c r="S72" s="104"/>
      <c r="T72" s="104"/>
      <c r="U72" s="104"/>
      <c r="V72" s="104"/>
      <c r="W72" s="104"/>
      <c r="X72" s="104"/>
      <c r="Y72" s="104"/>
      <c r="Z72" s="104"/>
      <c r="AA72" s="111"/>
      <c r="AB72" s="104"/>
      <c r="AC72" s="104"/>
      <c r="AD72" s="104"/>
      <c r="AE72" s="104"/>
      <c r="AF72" s="104"/>
      <c r="AG72" s="104"/>
      <c r="AH72" s="104"/>
      <c r="AI72" s="112"/>
      <c r="AJ72" s="111"/>
      <c r="AK72" s="111"/>
      <c r="AL72" s="111"/>
      <c r="AM72" s="111"/>
      <c r="AN72" s="111"/>
      <c r="AO72" s="111"/>
      <c r="AP72" s="111"/>
      <c r="AQ72" s="111"/>
      <c r="AR72" s="104"/>
      <c r="AS72" s="104"/>
    </row>
    <row r="73" spans="1:45">
      <c r="A73" s="111"/>
      <c r="B73" s="111"/>
      <c r="C73" s="111"/>
      <c r="D73" s="111"/>
      <c r="E73" s="111"/>
      <c r="F73" s="104"/>
      <c r="G73" s="111"/>
      <c r="H73" s="111"/>
      <c r="I73" s="111"/>
      <c r="J73" s="111"/>
      <c r="K73" s="111"/>
      <c r="L73" s="111"/>
      <c r="M73" s="111"/>
      <c r="N73" s="111"/>
      <c r="O73" s="111"/>
      <c r="P73" s="104"/>
      <c r="Q73" s="111"/>
      <c r="R73" s="111"/>
      <c r="S73" s="104"/>
      <c r="T73" s="104"/>
      <c r="U73" s="104"/>
      <c r="V73" s="104"/>
      <c r="W73" s="104"/>
      <c r="X73" s="104"/>
      <c r="Y73" s="104"/>
      <c r="Z73" s="104"/>
      <c r="AA73" s="111"/>
      <c r="AB73" s="104"/>
      <c r="AC73" s="104"/>
      <c r="AD73" s="104"/>
      <c r="AE73" s="104"/>
      <c r="AF73" s="104"/>
      <c r="AG73" s="104"/>
      <c r="AH73" s="104"/>
      <c r="AI73" s="112"/>
      <c r="AJ73" s="111"/>
      <c r="AK73" s="111"/>
      <c r="AL73" s="111"/>
      <c r="AM73" s="111"/>
      <c r="AN73" s="111"/>
      <c r="AO73" s="111"/>
      <c r="AP73" s="111"/>
      <c r="AQ73" s="111"/>
      <c r="AR73" s="104"/>
      <c r="AS73" s="104"/>
    </row>
    <row r="74" spans="1:45">
      <c r="A74" s="111"/>
      <c r="B74" s="111"/>
      <c r="C74" s="111"/>
      <c r="D74" s="111"/>
      <c r="E74" s="111"/>
      <c r="F74" s="104"/>
      <c r="G74" s="111"/>
      <c r="H74" s="111"/>
      <c r="I74" s="111"/>
      <c r="J74" s="111"/>
      <c r="K74" s="111"/>
      <c r="L74" s="111"/>
      <c r="M74" s="111"/>
      <c r="N74" s="111"/>
      <c r="O74" s="111"/>
      <c r="P74" s="104"/>
      <c r="Q74" s="111"/>
      <c r="R74" s="111"/>
      <c r="S74" s="104"/>
      <c r="T74" s="104"/>
      <c r="U74" s="104"/>
      <c r="V74" s="104"/>
      <c r="W74" s="104"/>
      <c r="X74" s="104"/>
      <c r="Y74" s="104"/>
      <c r="Z74" s="104"/>
      <c r="AA74" s="111"/>
      <c r="AB74" s="104"/>
      <c r="AC74" s="104"/>
      <c r="AD74" s="104"/>
      <c r="AE74" s="104"/>
      <c r="AF74" s="104"/>
      <c r="AG74" s="104"/>
      <c r="AH74" s="104"/>
      <c r="AI74" s="112"/>
      <c r="AJ74" s="111"/>
      <c r="AK74" s="111"/>
      <c r="AL74" s="111"/>
      <c r="AM74" s="111"/>
      <c r="AN74" s="111"/>
      <c r="AO74" s="111"/>
      <c r="AP74" s="111"/>
      <c r="AQ74" s="111"/>
      <c r="AR74" s="104"/>
      <c r="AS74" s="104"/>
    </row>
    <row r="75" spans="1:45">
      <c r="A75" s="111"/>
      <c r="B75" s="111"/>
      <c r="C75" s="111"/>
      <c r="D75" s="111"/>
      <c r="E75" s="111"/>
      <c r="F75" s="104"/>
      <c r="G75" s="111"/>
      <c r="H75" s="111"/>
      <c r="I75" s="111"/>
      <c r="J75" s="111"/>
      <c r="K75" s="111"/>
      <c r="L75" s="111"/>
      <c r="M75" s="111"/>
      <c r="N75" s="111"/>
      <c r="O75" s="111"/>
      <c r="P75" s="104"/>
      <c r="Q75" s="111"/>
      <c r="R75" s="111"/>
      <c r="S75" s="104"/>
      <c r="T75" s="104"/>
      <c r="U75" s="104"/>
      <c r="V75" s="104"/>
      <c r="W75" s="104"/>
      <c r="X75" s="104"/>
      <c r="Y75" s="104"/>
      <c r="Z75" s="104"/>
      <c r="AA75" s="111"/>
      <c r="AB75" s="104"/>
      <c r="AC75" s="104"/>
      <c r="AD75" s="104"/>
      <c r="AE75" s="104"/>
      <c r="AF75" s="104"/>
      <c r="AG75" s="104"/>
      <c r="AH75" s="104"/>
      <c r="AI75" s="112"/>
      <c r="AJ75" s="111"/>
      <c r="AK75" s="111"/>
      <c r="AL75" s="111"/>
      <c r="AM75" s="111"/>
      <c r="AN75" s="111"/>
      <c r="AO75" s="111"/>
      <c r="AP75" s="111"/>
      <c r="AQ75" s="111"/>
      <c r="AR75" s="104"/>
      <c r="AS75" s="104"/>
    </row>
    <row r="76" spans="1:45">
      <c r="A76" s="111"/>
      <c r="B76" s="111"/>
      <c r="C76" s="111"/>
      <c r="D76" s="111"/>
      <c r="E76" s="111"/>
      <c r="F76" s="104"/>
      <c r="G76" s="111"/>
      <c r="H76" s="111"/>
      <c r="I76" s="111"/>
      <c r="J76" s="111"/>
      <c r="K76" s="111"/>
      <c r="L76" s="111"/>
      <c r="M76" s="111"/>
      <c r="N76" s="111"/>
      <c r="O76" s="111"/>
      <c r="P76" s="104"/>
      <c r="Q76" s="111"/>
      <c r="R76" s="111"/>
      <c r="S76" s="104"/>
      <c r="T76" s="104"/>
      <c r="U76" s="104"/>
      <c r="V76" s="104"/>
      <c r="W76" s="104"/>
      <c r="X76" s="104"/>
      <c r="Y76" s="104"/>
      <c r="Z76" s="104"/>
      <c r="AA76" s="111"/>
      <c r="AB76" s="104"/>
      <c r="AC76" s="104"/>
      <c r="AD76" s="104"/>
      <c r="AE76" s="104"/>
      <c r="AF76" s="104"/>
      <c r="AG76" s="104"/>
      <c r="AH76" s="104"/>
      <c r="AI76" s="112"/>
      <c r="AJ76" s="111"/>
      <c r="AK76" s="111"/>
      <c r="AL76" s="111"/>
      <c r="AM76" s="111"/>
      <c r="AN76" s="111"/>
      <c r="AO76" s="111"/>
      <c r="AP76" s="111"/>
      <c r="AQ76" s="111"/>
      <c r="AR76" s="104"/>
      <c r="AS76" s="104"/>
    </row>
    <row r="77" spans="1:45">
      <c r="A77" s="111"/>
      <c r="B77" s="111"/>
      <c r="C77" s="111"/>
      <c r="D77" s="111"/>
      <c r="E77" s="111"/>
      <c r="F77" s="104"/>
      <c r="G77" s="111"/>
      <c r="H77" s="111"/>
      <c r="I77" s="111"/>
      <c r="J77" s="111"/>
      <c r="K77" s="111"/>
      <c r="L77" s="111"/>
      <c r="M77" s="111"/>
      <c r="N77" s="111"/>
      <c r="O77" s="111"/>
      <c r="P77" s="104"/>
      <c r="Q77" s="111"/>
      <c r="R77" s="111"/>
      <c r="S77" s="104"/>
      <c r="T77" s="104"/>
      <c r="U77" s="104"/>
      <c r="V77" s="104"/>
      <c r="W77" s="104"/>
      <c r="X77" s="104"/>
      <c r="Y77" s="104"/>
      <c r="Z77" s="104"/>
      <c r="AA77" s="111"/>
      <c r="AB77" s="104"/>
      <c r="AC77" s="104"/>
      <c r="AD77" s="104"/>
      <c r="AE77" s="104"/>
      <c r="AF77" s="104"/>
      <c r="AG77" s="104"/>
      <c r="AH77" s="104"/>
      <c r="AI77" s="112"/>
      <c r="AJ77" s="111"/>
      <c r="AK77" s="111"/>
      <c r="AL77" s="111"/>
      <c r="AM77" s="111"/>
      <c r="AN77" s="111"/>
      <c r="AO77" s="111"/>
      <c r="AP77" s="111"/>
      <c r="AQ77" s="111"/>
      <c r="AR77" s="104"/>
      <c r="AS77" s="104"/>
    </row>
    <row r="78" spans="1:45">
      <c r="A78" s="111"/>
      <c r="B78" s="111"/>
      <c r="C78" s="111"/>
      <c r="D78" s="111"/>
      <c r="E78" s="111"/>
      <c r="F78" s="104"/>
      <c r="G78" s="111"/>
      <c r="H78" s="111"/>
      <c r="I78" s="111"/>
      <c r="J78" s="111"/>
      <c r="K78" s="111"/>
      <c r="L78" s="111"/>
      <c r="M78" s="111"/>
      <c r="N78" s="111"/>
      <c r="O78" s="111"/>
      <c r="P78" s="104"/>
      <c r="Q78" s="111"/>
      <c r="R78" s="111"/>
      <c r="S78" s="104"/>
      <c r="T78" s="104"/>
      <c r="U78" s="104"/>
      <c r="V78" s="104"/>
      <c r="W78" s="104"/>
      <c r="X78" s="104"/>
      <c r="Y78" s="104"/>
      <c r="Z78" s="104"/>
      <c r="AA78" s="111"/>
      <c r="AB78" s="104"/>
      <c r="AC78" s="104"/>
      <c r="AD78" s="104"/>
      <c r="AE78" s="104"/>
      <c r="AF78" s="104"/>
      <c r="AG78" s="104"/>
      <c r="AH78" s="104"/>
      <c r="AI78" s="112"/>
      <c r="AJ78" s="111"/>
      <c r="AK78" s="111"/>
      <c r="AL78" s="111"/>
      <c r="AM78" s="111"/>
      <c r="AN78" s="111"/>
      <c r="AO78" s="111"/>
      <c r="AP78" s="111"/>
      <c r="AQ78" s="111"/>
      <c r="AR78" s="104"/>
      <c r="AS78" s="104"/>
    </row>
    <row r="79" spans="1:45">
      <c r="A79" s="111"/>
      <c r="B79" s="111"/>
      <c r="C79" s="111"/>
      <c r="D79" s="111"/>
      <c r="E79" s="111"/>
      <c r="F79" s="104"/>
      <c r="G79" s="111"/>
      <c r="H79" s="111"/>
      <c r="I79" s="111"/>
      <c r="J79" s="111"/>
      <c r="K79" s="111"/>
      <c r="L79" s="111"/>
      <c r="M79" s="111"/>
      <c r="N79" s="111"/>
      <c r="O79" s="111"/>
      <c r="P79" s="104"/>
      <c r="Q79" s="111"/>
      <c r="R79" s="111"/>
      <c r="S79" s="104"/>
      <c r="T79" s="104"/>
      <c r="U79" s="104"/>
      <c r="V79" s="104"/>
      <c r="W79" s="104"/>
      <c r="X79" s="104"/>
      <c r="Y79" s="104"/>
      <c r="Z79" s="104"/>
      <c r="AA79" s="111"/>
      <c r="AB79" s="104"/>
      <c r="AC79" s="104"/>
      <c r="AD79" s="104"/>
      <c r="AE79" s="104"/>
      <c r="AF79" s="104"/>
      <c r="AG79" s="104"/>
      <c r="AH79" s="104"/>
      <c r="AI79" s="112"/>
      <c r="AJ79" s="111"/>
      <c r="AK79" s="111"/>
      <c r="AL79" s="111"/>
      <c r="AM79" s="111"/>
      <c r="AN79" s="111"/>
      <c r="AO79" s="111"/>
      <c r="AP79" s="111"/>
      <c r="AQ79" s="111"/>
      <c r="AR79" s="104"/>
      <c r="AS79" s="104"/>
    </row>
    <row r="80" spans="1:45">
      <c r="A80" s="111"/>
      <c r="B80" s="111"/>
      <c r="C80" s="111"/>
      <c r="D80" s="111"/>
      <c r="E80" s="111"/>
      <c r="F80" s="104"/>
      <c r="G80" s="111"/>
      <c r="H80" s="111"/>
      <c r="I80" s="111"/>
      <c r="J80" s="111"/>
      <c r="K80" s="111"/>
      <c r="L80" s="111"/>
      <c r="M80" s="111"/>
      <c r="N80" s="111"/>
      <c r="O80" s="111"/>
      <c r="P80" s="104"/>
      <c r="Q80" s="111"/>
      <c r="R80" s="111"/>
      <c r="S80" s="104"/>
      <c r="T80" s="104"/>
      <c r="U80" s="104"/>
      <c r="V80" s="104"/>
      <c r="W80" s="104"/>
      <c r="X80" s="104"/>
      <c r="Y80" s="104"/>
      <c r="Z80" s="104"/>
      <c r="AA80" s="111"/>
      <c r="AB80" s="104"/>
      <c r="AC80" s="104"/>
      <c r="AD80" s="104"/>
      <c r="AE80" s="104"/>
      <c r="AF80" s="104"/>
      <c r="AG80" s="104"/>
      <c r="AH80" s="104"/>
      <c r="AI80" s="112"/>
      <c r="AJ80" s="111"/>
      <c r="AK80" s="111"/>
      <c r="AL80" s="111"/>
      <c r="AM80" s="111"/>
      <c r="AN80" s="111"/>
      <c r="AO80" s="111"/>
      <c r="AP80" s="111"/>
      <c r="AQ80" s="111"/>
      <c r="AR80" s="104"/>
      <c r="AS80" s="104"/>
    </row>
    <row r="81" spans="1:45">
      <c r="A81" s="111"/>
      <c r="B81" s="111"/>
      <c r="C81" s="111"/>
      <c r="D81" s="111"/>
      <c r="E81" s="111"/>
      <c r="F81" s="104"/>
      <c r="G81" s="111"/>
      <c r="H81" s="111"/>
      <c r="I81" s="111"/>
      <c r="J81" s="111"/>
      <c r="K81" s="111"/>
      <c r="L81" s="111"/>
      <c r="M81" s="111"/>
      <c r="N81" s="111"/>
      <c r="O81" s="111"/>
      <c r="P81" s="104"/>
      <c r="Q81" s="111"/>
      <c r="R81" s="111"/>
      <c r="S81" s="104"/>
      <c r="T81" s="104"/>
      <c r="U81" s="104"/>
      <c r="V81" s="104"/>
      <c r="W81" s="104"/>
      <c r="X81" s="104"/>
      <c r="Y81" s="104"/>
      <c r="Z81" s="104"/>
      <c r="AA81" s="111"/>
      <c r="AB81" s="104"/>
      <c r="AC81" s="104"/>
      <c r="AD81" s="104"/>
      <c r="AE81" s="104"/>
      <c r="AF81" s="104"/>
      <c r="AG81" s="104"/>
      <c r="AH81" s="104"/>
      <c r="AI81" s="112"/>
      <c r="AJ81" s="111"/>
      <c r="AK81" s="111"/>
      <c r="AL81" s="111"/>
      <c r="AM81" s="111"/>
      <c r="AN81" s="111"/>
      <c r="AO81" s="111"/>
      <c r="AP81" s="111"/>
      <c r="AQ81" s="111"/>
      <c r="AR81" s="104"/>
      <c r="AS81" s="104"/>
    </row>
    <row r="82" spans="1:45">
      <c r="A82" s="111"/>
      <c r="B82" s="111"/>
      <c r="C82" s="111"/>
      <c r="D82" s="111"/>
      <c r="E82" s="111"/>
      <c r="F82" s="104"/>
      <c r="G82" s="111"/>
      <c r="H82" s="111"/>
      <c r="I82" s="111"/>
      <c r="J82" s="111"/>
      <c r="K82" s="111"/>
      <c r="L82" s="111"/>
      <c r="M82" s="111"/>
      <c r="N82" s="111"/>
      <c r="O82" s="111"/>
      <c r="P82" s="104"/>
      <c r="Q82" s="111"/>
      <c r="R82" s="111"/>
      <c r="S82" s="104"/>
      <c r="T82" s="104"/>
      <c r="U82" s="104"/>
      <c r="V82" s="104"/>
      <c r="W82" s="104"/>
      <c r="X82" s="104"/>
      <c r="Y82" s="104"/>
      <c r="Z82" s="104"/>
      <c r="AA82" s="111"/>
      <c r="AB82" s="104"/>
      <c r="AC82" s="104"/>
      <c r="AD82" s="104"/>
      <c r="AE82" s="104"/>
      <c r="AF82" s="104"/>
      <c r="AG82" s="104"/>
      <c r="AH82" s="104"/>
      <c r="AI82" s="112"/>
      <c r="AJ82" s="111"/>
      <c r="AK82" s="111"/>
      <c r="AL82" s="111"/>
      <c r="AM82" s="111"/>
      <c r="AN82" s="111"/>
      <c r="AO82" s="111"/>
      <c r="AP82" s="111"/>
      <c r="AQ82" s="111"/>
      <c r="AR82" s="104"/>
      <c r="AS82" s="104"/>
    </row>
    <row r="83" spans="1:45">
      <c r="A83" s="111"/>
      <c r="B83" s="111"/>
      <c r="C83" s="111"/>
      <c r="D83" s="111"/>
      <c r="E83" s="111"/>
      <c r="F83" s="104"/>
      <c r="G83" s="111"/>
      <c r="H83" s="111"/>
      <c r="I83" s="111"/>
      <c r="J83" s="111"/>
      <c r="K83" s="111"/>
      <c r="L83" s="111"/>
      <c r="M83" s="111"/>
      <c r="N83" s="111"/>
      <c r="O83" s="111"/>
      <c r="P83" s="104"/>
      <c r="Q83" s="111"/>
      <c r="R83" s="111"/>
      <c r="S83" s="104"/>
      <c r="T83" s="104"/>
      <c r="U83" s="104"/>
      <c r="V83" s="104"/>
      <c r="W83" s="104"/>
      <c r="X83" s="104"/>
      <c r="Y83" s="104"/>
      <c r="Z83" s="104"/>
      <c r="AA83" s="111"/>
      <c r="AB83" s="104"/>
      <c r="AC83" s="104"/>
      <c r="AD83" s="104"/>
      <c r="AE83" s="104"/>
      <c r="AF83" s="104"/>
      <c r="AG83" s="104"/>
      <c r="AH83" s="104"/>
      <c r="AI83" s="112"/>
      <c r="AJ83" s="111"/>
      <c r="AK83" s="111"/>
      <c r="AL83" s="111"/>
      <c r="AM83" s="111"/>
      <c r="AN83" s="111"/>
      <c r="AO83" s="111"/>
      <c r="AP83" s="111"/>
      <c r="AQ83" s="111"/>
      <c r="AR83" s="104"/>
      <c r="AS83" s="104"/>
    </row>
    <row r="84" spans="1:45">
      <c r="A84" s="111"/>
      <c r="B84" s="111"/>
      <c r="C84" s="111"/>
      <c r="D84" s="111"/>
      <c r="E84" s="111"/>
      <c r="F84" s="104"/>
      <c r="G84" s="111"/>
      <c r="H84" s="111"/>
      <c r="I84" s="111"/>
      <c r="J84" s="111"/>
      <c r="K84" s="111"/>
      <c r="L84" s="111"/>
      <c r="M84" s="111"/>
      <c r="N84" s="111"/>
      <c r="O84" s="111"/>
      <c r="P84" s="104"/>
      <c r="Q84" s="111"/>
      <c r="R84" s="111"/>
      <c r="S84" s="104"/>
      <c r="T84" s="104"/>
      <c r="U84" s="104"/>
      <c r="V84" s="104"/>
      <c r="W84" s="104"/>
      <c r="X84" s="104"/>
      <c r="Y84" s="104"/>
      <c r="Z84" s="104"/>
      <c r="AA84" s="111"/>
      <c r="AB84" s="104"/>
      <c r="AC84" s="104"/>
      <c r="AD84" s="104"/>
      <c r="AE84" s="104"/>
      <c r="AF84" s="104"/>
      <c r="AG84" s="104"/>
      <c r="AH84" s="104"/>
      <c r="AI84" s="112"/>
      <c r="AJ84" s="111"/>
      <c r="AK84" s="111"/>
      <c r="AL84" s="111"/>
      <c r="AM84" s="111"/>
      <c r="AN84" s="111"/>
      <c r="AO84" s="111"/>
      <c r="AP84" s="111"/>
      <c r="AQ84" s="111"/>
      <c r="AR84" s="104"/>
      <c r="AS84" s="104"/>
    </row>
    <row r="85" spans="1:45">
      <c r="A85" s="111"/>
      <c r="B85" s="111"/>
      <c r="C85" s="111"/>
      <c r="D85" s="111"/>
      <c r="E85" s="111"/>
      <c r="F85" s="104"/>
      <c r="G85" s="111"/>
      <c r="H85" s="111"/>
      <c r="I85" s="111"/>
      <c r="J85" s="111"/>
      <c r="K85" s="111"/>
      <c r="L85" s="111"/>
      <c r="M85" s="111"/>
      <c r="N85" s="111"/>
      <c r="O85" s="111"/>
      <c r="P85" s="104"/>
      <c r="Q85" s="111"/>
      <c r="R85" s="111"/>
      <c r="S85" s="104"/>
      <c r="T85" s="104"/>
      <c r="U85" s="104"/>
      <c r="V85" s="104"/>
      <c r="W85" s="104"/>
      <c r="X85" s="104"/>
      <c r="Y85" s="104"/>
      <c r="Z85" s="104"/>
      <c r="AA85" s="111"/>
      <c r="AB85" s="104"/>
      <c r="AC85" s="104"/>
      <c r="AD85" s="104"/>
      <c r="AE85" s="104"/>
      <c r="AF85" s="104"/>
      <c r="AG85" s="104"/>
      <c r="AH85" s="104"/>
      <c r="AI85" s="112"/>
      <c r="AJ85" s="111"/>
      <c r="AK85" s="111"/>
      <c r="AL85" s="111"/>
      <c r="AM85" s="111"/>
      <c r="AN85" s="111"/>
      <c r="AO85" s="111"/>
      <c r="AP85" s="111"/>
      <c r="AQ85" s="111"/>
      <c r="AR85" s="104"/>
      <c r="AS85" s="104"/>
    </row>
    <row r="86" spans="1:45">
      <c r="A86" s="111"/>
      <c r="B86" s="111"/>
      <c r="C86" s="111"/>
      <c r="D86" s="111"/>
      <c r="E86" s="111"/>
      <c r="F86" s="104"/>
      <c r="G86" s="111"/>
      <c r="H86" s="111"/>
      <c r="I86" s="111"/>
      <c r="J86" s="111"/>
      <c r="K86" s="111"/>
      <c r="L86" s="111"/>
      <c r="M86" s="111"/>
      <c r="N86" s="111"/>
      <c r="O86" s="111"/>
      <c r="P86" s="104"/>
      <c r="Q86" s="111"/>
      <c r="R86" s="111"/>
      <c r="S86" s="104"/>
      <c r="T86" s="104"/>
      <c r="U86" s="104"/>
      <c r="V86" s="104"/>
      <c r="W86" s="104"/>
      <c r="X86" s="104"/>
      <c r="Y86" s="104"/>
      <c r="Z86" s="104"/>
      <c r="AA86" s="111"/>
      <c r="AB86" s="104"/>
      <c r="AC86" s="104"/>
      <c r="AD86" s="104"/>
      <c r="AE86" s="104"/>
      <c r="AF86" s="104"/>
      <c r="AG86" s="104"/>
      <c r="AH86" s="104"/>
      <c r="AI86" s="112"/>
      <c r="AJ86" s="111"/>
      <c r="AK86" s="111"/>
      <c r="AL86" s="111"/>
      <c r="AM86" s="111"/>
      <c r="AN86" s="111"/>
      <c r="AO86" s="111"/>
      <c r="AP86" s="111"/>
      <c r="AQ86" s="111"/>
      <c r="AR86" s="104"/>
      <c r="AS86" s="104"/>
    </row>
    <row r="87" spans="1:45">
      <c r="A87" s="111"/>
      <c r="B87" s="111"/>
      <c r="C87" s="111"/>
      <c r="D87" s="111"/>
      <c r="E87" s="111"/>
      <c r="F87" s="104"/>
      <c r="G87" s="111"/>
      <c r="H87" s="111"/>
      <c r="I87" s="111"/>
      <c r="J87" s="111"/>
      <c r="K87" s="111"/>
      <c r="L87" s="111"/>
      <c r="M87" s="111"/>
      <c r="N87" s="111"/>
      <c r="O87" s="111"/>
      <c r="P87" s="104"/>
      <c r="Q87" s="111"/>
      <c r="R87" s="111"/>
      <c r="S87" s="104"/>
      <c r="T87" s="104"/>
      <c r="U87" s="104"/>
      <c r="V87" s="104"/>
      <c r="W87" s="104"/>
      <c r="X87" s="104"/>
      <c r="Y87" s="104"/>
      <c r="Z87" s="104"/>
      <c r="AA87" s="111"/>
      <c r="AB87" s="104"/>
      <c r="AC87" s="104"/>
      <c r="AD87" s="104"/>
      <c r="AE87" s="104"/>
      <c r="AF87" s="104"/>
      <c r="AG87" s="104"/>
      <c r="AH87" s="104"/>
      <c r="AI87" s="112"/>
      <c r="AJ87" s="111"/>
      <c r="AK87" s="111"/>
      <c r="AL87" s="111"/>
      <c r="AM87" s="111"/>
      <c r="AN87" s="111"/>
      <c r="AO87" s="111"/>
      <c r="AP87" s="111"/>
      <c r="AQ87" s="111"/>
      <c r="AR87" s="104"/>
      <c r="AS87" s="104"/>
    </row>
    <row r="88" spans="1:45">
      <c r="A88" s="111"/>
      <c r="B88" s="111"/>
      <c r="C88" s="111"/>
      <c r="D88" s="111"/>
      <c r="E88" s="111"/>
      <c r="F88" s="104"/>
      <c r="G88" s="111"/>
      <c r="H88" s="111"/>
      <c r="I88" s="111"/>
      <c r="J88" s="111"/>
      <c r="K88" s="111"/>
      <c r="L88" s="111"/>
      <c r="M88" s="111"/>
      <c r="N88" s="111"/>
      <c r="O88" s="111"/>
      <c r="P88" s="104"/>
      <c r="Q88" s="111"/>
      <c r="R88" s="111"/>
      <c r="S88" s="104"/>
      <c r="T88" s="104"/>
      <c r="U88" s="104"/>
      <c r="V88" s="104"/>
      <c r="W88" s="104"/>
      <c r="X88" s="104"/>
      <c r="Y88" s="104"/>
      <c r="Z88" s="104"/>
      <c r="AA88" s="111"/>
      <c r="AB88" s="104"/>
      <c r="AC88" s="104"/>
      <c r="AD88" s="104"/>
      <c r="AE88" s="104"/>
      <c r="AF88" s="104"/>
      <c r="AG88" s="104"/>
      <c r="AH88" s="104"/>
      <c r="AI88" s="112"/>
      <c r="AJ88" s="111"/>
      <c r="AK88" s="111"/>
      <c r="AL88" s="111"/>
      <c r="AM88" s="111"/>
      <c r="AN88" s="111"/>
      <c r="AO88" s="111"/>
      <c r="AP88" s="111"/>
      <c r="AQ88" s="111"/>
      <c r="AR88" s="104"/>
      <c r="AS88" s="104"/>
    </row>
    <row r="89" spans="1:45">
      <c r="A89" s="111"/>
      <c r="B89" s="111"/>
      <c r="C89" s="111"/>
      <c r="D89" s="111"/>
      <c r="E89" s="111"/>
      <c r="F89" s="104"/>
      <c r="G89" s="111"/>
      <c r="H89" s="111"/>
      <c r="I89" s="111"/>
      <c r="J89" s="111"/>
      <c r="K89" s="111"/>
      <c r="L89" s="111"/>
      <c r="M89" s="111"/>
      <c r="N89" s="111"/>
      <c r="O89" s="111"/>
      <c r="P89" s="104"/>
      <c r="Q89" s="111"/>
      <c r="R89" s="111"/>
      <c r="S89" s="104"/>
      <c r="T89" s="104"/>
      <c r="U89" s="104"/>
      <c r="V89" s="104"/>
      <c r="W89" s="104"/>
      <c r="X89" s="104"/>
      <c r="Y89" s="104"/>
      <c r="Z89" s="104"/>
      <c r="AA89" s="111"/>
      <c r="AB89" s="104"/>
      <c r="AC89" s="104"/>
      <c r="AD89" s="104"/>
      <c r="AE89" s="104"/>
      <c r="AF89" s="104"/>
      <c r="AG89" s="104"/>
      <c r="AH89" s="104"/>
      <c r="AI89" s="112"/>
      <c r="AJ89" s="111"/>
      <c r="AK89" s="111"/>
      <c r="AL89" s="111"/>
      <c r="AM89" s="111"/>
      <c r="AN89" s="111"/>
      <c r="AO89" s="111"/>
      <c r="AP89" s="111"/>
      <c r="AQ89" s="111"/>
      <c r="AR89" s="104"/>
      <c r="AS89" s="104"/>
    </row>
    <row r="90" spans="1:45">
      <c r="A90" s="111"/>
      <c r="B90" s="111"/>
      <c r="C90" s="111"/>
      <c r="D90" s="111"/>
      <c r="E90" s="111"/>
      <c r="F90" s="104"/>
      <c r="G90" s="111"/>
      <c r="H90" s="111"/>
      <c r="I90" s="111"/>
      <c r="J90" s="111"/>
      <c r="K90" s="111"/>
      <c r="L90" s="111"/>
      <c r="M90" s="111"/>
      <c r="N90" s="111"/>
      <c r="O90" s="111"/>
      <c r="P90" s="104"/>
      <c r="Q90" s="111"/>
      <c r="R90" s="111"/>
      <c r="S90" s="104"/>
      <c r="T90" s="104"/>
      <c r="U90" s="104"/>
      <c r="V90" s="104"/>
      <c r="W90" s="104"/>
      <c r="X90" s="104"/>
      <c r="Y90" s="104"/>
      <c r="Z90" s="104"/>
      <c r="AA90" s="111"/>
      <c r="AB90" s="104"/>
      <c r="AC90" s="104"/>
      <c r="AD90" s="104"/>
      <c r="AE90" s="104"/>
      <c r="AF90" s="104"/>
      <c r="AG90" s="104"/>
      <c r="AH90" s="104"/>
      <c r="AI90" s="112"/>
      <c r="AJ90" s="111"/>
      <c r="AK90" s="111"/>
      <c r="AL90" s="111"/>
      <c r="AM90" s="111"/>
      <c r="AN90" s="111"/>
      <c r="AO90" s="111"/>
      <c r="AP90" s="111"/>
      <c r="AQ90" s="111"/>
      <c r="AR90" s="104"/>
      <c r="AS90" s="104"/>
    </row>
    <row r="91" spans="1:45">
      <c r="A91" s="111"/>
      <c r="B91" s="111"/>
      <c r="C91" s="111"/>
      <c r="D91" s="111"/>
      <c r="E91" s="111"/>
      <c r="F91" s="104"/>
      <c r="G91" s="111"/>
      <c r="H91" s="111"/>
      <c r="I91" s="111"/>
      <c r="J91" s="111"/>
      <c r="K91" s="111"/>
      <c r="L91" s="111"/>
      <c r="M91" s="111"/>
      <c r="N91" s="111"/>
      <c r="O91" s="111"/>
      <c r="P91" s="104"/>
      <c r="Q91" s="111"/>
      <c r="R91" s="111"/>
      <c r="S91" s="104"/>
      <c r="T91" s="104"/>
      <c r="U91" s="104"/>
      <c r="V91" s="104"/>
      <c r="W91" s="104"/>
      <c r="X91" s="104"/>
      <c r="Y91" s="104"/>
      <c r="Z91" s="104"/>
      <c r="AA91" s="111"/>
      <c r="AB91" s="104"/>
      <c r="AC91" s="104"/>
      <c r="AD91" s="104"/>
      <c r="AE91" s="104"/>
      <c r="AF91" s="104"/>
      <c r="AG91" s="104"/>
      <c r="AH91" s="104"/>
      <c r="AI91" s="112"/>
      <c r="AJ91" s="111"/>
      <c r="AK91" s="111"/>
      <c r="AL91" s="111"/>
      <c r="AM91" s="111"/>
      <c r="AN91" s="111"/>
      <c r="AO91" s="111"/>
      <c r="AP91" s="111"/>
      <c r="AQ91" s="111"/>
      <c r="AR91" s="104"/>
      <c r="AS91" s="104"/>
    </row>
    <row r="92" spans="1:45">
      <c r="A92" s="111"/>
      <c r="B92" s="111"/>
      <c r="C92" s="111"/>
      <c r="D92" s="111"/>
      <c r="E92" s="111"/>
      <c r="F92" s="104"/>
      <c r="G92" s="111"/>
      <c r="H92" s="111"/>
      <c r="I92" s="111"/>
      <c r="J92" s="111"/>
      <c r="K92" s="111"/>
      <c r="L92" s="111"/>
      <c r="M92" s="111"/>
      <c r="N92" s="111"/>
      <c r="O92" s="111"/>
      <c r="P92" s="104"/>
      <c r="Q92" s="111"/>
      <c r="R92" s="111"/>
      <c r="S92" s="104"/>
      <c r="T92" s="104"/>
      <c r="U92" s="104"/>
      <c r="V92" s="104"/>
      <c r="W92" s="104"/>
      <c r="X92" s="104"/>
      <c r="Y92" s="104"/>
      <c r="Z92" s="104"/>
      <c r="AA92" s="111"/>
      <c r="AB92" s="104"/>
      <c r="AC92" s="104"/>
      <c r="AD92" s="104"/>
      <c r="AE92" s="104"/>
      <c r="AF92" s="104"/>
      <c r="AG92" s="104"/>
      <c r="AH92" s="104"/>
      <c r="AI92" s="112"/>
      <c r="AJ92" s="111"/>
      <c r="AK92" s="111"/>
      <c r="AL92" s="111"/>
      <c r="AM92" s="111"/>
      <c r="AN92" s="111"/>
      <c r="AO92" s="111"/>
      <c r="AP92" s="111"/>
      <c r="AQ92" s="111"/>
      <c r="AR92" s="104"/>
      <c r="AS92" s="104"/>
    </row>
    <row r="93" spans="1:45">
      <c r="A93" s="111"/>
      <c r="B93" s="111"/>
      <c r="C93" s="111"/>
      <c r="D93" s="111"/>
      <c r="E93" s="111"/>
      <c r="F93" s="104"/>
      <c r="G93" s="111"/>
      <c r="H93" s="111"/>
      <c r="I93" s="111"/>
      <c r="J93" s="111"/>
      <c r="K93" s="111"/>
      <c r="L93" s="111"/>
      <c r="M93" s="111"/>
      <c r="N93" s="111"/>
      <c r="O93" s="111"/>
      <c r="P93" s="104"/>
      <c r="Q93" s="111"/>
      <c r="R93" s="111"/>
      <c r="S93" s="104"/>
      <c r="T93" s="104"/>
      <c r="U93" s="104"/>
      <c r="V93" s="104"/>
      <c r="W93" s="104"/>
      <c r="X93" s="104"/>
      <c r="Y93" s="104"/>
      <c r="Z93" s="104"/>
      <c r="AA93" s="111"/>
      <c r="AB93" s="104"/>
      <c r="AC93" s="104"/>
      <c r="AD93" s="104"/>
      <c r="AE93" s="104"/>
      <c r="AF93" s="104"/>
      <c r="AG93" s="104"/>
      <c r="AH93" s="104"/>
      <c r="AI93" s="112"/>
      <c r="AJ93" s="111"/>
      <c r="AK93" s="111"/>
      <c r="AL93" s="111"/>
      <c r="AM93" s="111"/>
      <c r="AN93" s="111"/>
      <c r="AO93" s="111"/>
      <c r="AP93" s="111"/>
      <c r="AQ93" s="111"/>
      <c r="AR93" s="104"/>
      <c r="AS93" s="104"/>
    </row>
    <row r="94" spans="1:45">
      <c r="A94" s="111"/>
      <c r="B94" s="111"/>
      <c r="C94" s="111"/>
      <c r="D94" s="111"/>
      <c r="E94" s="111"/>
      <c r="F94" s="104"/>
      <c r="G94" s="111"/>
      <c r="H94" s="111"/>
      <c r="I94" s="111"/>
      <c r="J94" s="111"/>
      <c r="K94" s="111"/>
      <c r="L94" s="111"/>
      <c r="M94" s="111"/>
      <c r="N94" s="111"/>
      <c r="O94" s="111"/>
      <c r="P94" s="104"/>
      <c r="Q94" s="111"/>
      <c r="R94" s="111"/>
      <c r="S94" s="104"/>
      <c r="T94" s="104"/>
      <c r="U94" s="104"/>
      <c r="V94" s="104"/>
      <c r="W94" s="104"/>
      <c r="X94" s="104"/>
      <c r="Y94" s="104"/>
      <c r="Z94" s="104"/>
      <c r="AA94" s="111"/>
      <c r="AB94" s="104"/>
      <c r="AC94" s="104"/>
      <c r="AD94" s="104"/>
      <c r="AE94" s="104"/>
      <c r="AF94" s="104"/>
      <c r="AG94" s="104"/>
      <c r="AH94" s="104"/>
      <c r="AI94" s="112"/>
      <c r="AJ94" s="111"/>
      <c r="AK94" s="111"/>
      <c r="AL94" s="111"/>
      <c r="AM94" s="111"/>
      <c r="AN94" s="111"/>
      <c r="AO94" s="111"/>
      <c r="AP94" s="111"/>
      <c r="AQ94" s="111"/>
      <c r="AR94" s="104"/>
      <c r="AS94" s="104"/>
    </row>
    <row r="95" spans="1:45">
      <c r="A95" s="111"/>
      <c r="B95" s="111"/>
      <c r="C95" s="111"/>
      <c r="D95" s="111"/>
      <c r="E95" s="111"/>
      <c r="F95" s="104"/>
      <c r="G95" s="111"/>
      <c r="H95" s="111"/>
      <c r="I95" s="111"/>
      <c r="J95" s="111"/>
      <c r="K95" s="111"/>
      <c r="L95" s="111"/>
      <c r="M95" s="111"/>
      <c r="N95" s="111"/>
      <c r="O95" s="111"/>
      <c r="P95" s="104"/>
      <c r="Q95" s="111"/>
      <c r="R95" s="111"/>
      <c r="S95" s="104"/>
      <c r="T95" s="104"/>
      <c r="U95" s="104"/>
      <c r="V95" s="104"/>
      <c r="W95" s="104"/>
      <c r="X95" s="104"/>
      <c r="Y95" s="104"/>
      <c r="Z95" s="104"/>
      <c r="AA95" s="111"/>
      <c r="AB95" s="104"/>
      <c r="AC95" s="104"/>
      <c r="AD95" s="104"/>
      <c r="AE95" s="104"/>
      <c r="AF95" s="104"/>
      <c r="AG95" s="104"/>
      <c r="AH95" s="104"/>
      <c r="AI95" s="112"/>
      <c r="AJ95" s="111"/>
      <c r="AK95" s="111"/>
      <c r="AL95" s="111"/>
      <c r="AM95" s="111"/>
      <c r="AN95" s="111"/>
      <c r="AO95" s="111"/>
      <c r="AP95" s="111"/>
      <c r="AQ95" s="111"/>
      <c r="AR95" s="104"/>
      <c r="AS95" s="104"/>
    </row>
    <row r="96" spans="1:45">
      <c r="A96" s="111"/>
      <c r="B96" s="111"/>
      <c r="C96" s="111"/>
      <c r="D96" s="111"/>
      <c r="E96" s="111"/>
      <c r="F96" s="104"/>
      <c r="G96" s="111"/>
      <c r="H96" s="111"/>
      <c r="I96" s="111"/>
      <c r="J96" s="111"/>
      <c r="K96" s="111"/>
      <c r="L96" s="111"/>
      <c r="M96" s="111"/>
      <c r="N96" s="111"/>
      <c r="O96" s="111"/>
      <c r="P96" s="104"/>
      <c r="Q96" s="111"/>
      <c r="R96" s="111"/>
      <c r="S96" s="104"/>
      <c r="T96" s="104"/>
      <c r="U96" s="104"/>
      <c r="V96" s="104"/>
      <c r="W96" s="104"/>
      <c r="X96" s="104"/>
      <c r="Y96" s="104"/>
      <c r="Z96" s="104"/>
      <c r="AA96" s="111"/>
      <c r="AB96" s="104"/>
      <c r="AC96" s="104"/>
      <c r="AD96" s="104"/>
      <c r="AE96" s="104"/>
      <c r="AF96" s="104"/>
      <c r="AG96" s="104"/>
      <c r="AH96" s="104"/>
      <c r="AI96" s="112"/>
      <c r="AJ96" s="111"/>
      <c r="AK96" s="111"/>
      <c r="AL96" s="111"/>
      <c r="AM96" s="111"/>
      <c r="AN96" s="111"/>
      <c r="AO96" s="111"/>
      <c r="AP96" s="111"/>
      <c r="AQ96" s="111"/>
      <c r="AR96" s="104"/>
      <c r="AS96" s="104"/>
    </row>
    <row r="97" spans="1:45">
      <c r="A97" s="111"/>
      <c r="B97" s="111"/>
      <c r="C97" s="111"/>
      <c r="D97" s="111"/>
      <c r="E97" s="111"/>
      <c r="F97" s="104"/>
      <c r="G97" s="111"/>
      <c r="H97" s="111"/>
      <c r="I97" s="111"/>
      <c r="J97" s="111"/>
      <c r="K97" s="111"/>
      <c r="L97" s="111"/>
      <c r="M97" s="111"/>
      <c r="N97" s="111"/>
      <c r="O97" s="111"/>
      <c r="P97" s="104"/>
      <c r="Q97" s="111"/>
      <c r="R97" s="111"/>
      <c r="S97" s="104"/>
      <c r="T97" s="104"/>
      <c r="U97" s="104"/>
      <c r="V97" s="104"/>
      <c r="W97" s="104"/>
      <c r="X97" s="104"/>
      <c r="Y97" s="104"/>
      <c r="Z97" s="104"/>
      <c r="AA97" s="111"/>
      <c r="AB97" s="104"/>
      <c r="AC97" s="104"/>
      <c r="AD97" s="104"/>
      <c r="AE97" s="104"/>
      <c r="AF97" s="104"/>
      <c r="AG97" s="104"/>
      <c r="AH97" s="104"/>
      <c r="AI97" s="112"/>
      <c r="AJ97" s="111"/>
      <c r="AK97" s="111"/>
      <c r="AL97" s="111"/>
      <c r="AM97" s="111"/>
      <c r="AN97" s="111"/>
      <c r="AO97" s="111"/>
      <c r="AP97" s="111"/>
      <c r="AQ97" s="111"/>
      <c r="AR97" s="104"/>
      <c r="AS97" s="104"/>
    </row>
    <row r="98" spans="1:45">
      <c r="A98" s="111"/>
      <c r="B98" s="111"/>
      <c r="C98" s="111"/>
      <c r="D98" s="111"/>
      <c r="E98" s="111"/>
      <c r="F98" s="104"/>
      <c r="G98" s="111"/>
      <c r="H98" s="111"/>
      <c r="I98" s="111"/>
      <c r="J98" s="111"/>
      <c r="K98" s="111"/>
      <c r="L98" s="111"/>
      <c r="M98" s="111"/>
      <c r="N98" s="111"/>
      <c r="O98" s="111"/>
      <c r="P98" s="104"/>
      <c r="Q98" s="111"/>
      <c r="R98" s="111"/>
      <c r="S98" s="104"/>
      <c r="T98" s="104"/>
      <c r="U98" s="104"/>
      <c r="V98" s="104"/>
      <c r="W98" s="104"/>
      <c r="X98" s="104"/>
      <c r="Y98" s="104"/>
      <c r="Z98" s="104"/>
      <c r="AA98" s="111"/>
      <c r="AB98" s="104"/>
      <c r="AC98" s="104"/>
      <c r="AD98" s="104"/>
      <c r="AE98" s="104"/>
      <c r="AF98" s="104"/>
      <c r="AG98" s="104"/>
      <c r="AH98" s="104"/>
      <c r="AI98" s="112"/>
      <c r="AJ98" s="111"/>
      <c r="AK98" s="111"/>
      <c r="AL98" s="111"/>
      <c r="AM98" s="111"/>
      <c r="AN98" s="111"/>
      <c r="AO98" s="111"/>
      <c r="AP98" s="111"/>
      <c r="AQ98" s="111"/>
      <c r="AR98" s="104"/>
      <c r="AS98" s="104"/>
    </row>
    <row r="99" spans="1:45">
      <c r="A99" s="111"/>
      <c r="B99" s="111"/>
      <c r="C99" s="111"/>
      <c r="D99" s="111"/>
      <c r="E99" s="111"/>
      <c r="F99" s="104"/>
      <c r="G99" s="111"/>
      <c r="H99" s="111"/>
      <c r="I99" s="111"/>
      <c r="J99" s="111"/>
      <c r="K99" s="111"/>
      <c r="L99" s="111"/>
      <c r="M99" s="111"/>
      <c r="N99" s="111"/>
      <c r="O99" s="111"/>
      <c r="P99" s="104"/>
      <c r="Q99" s="111"/>
      <c r="R99" s="111"/>
      <c r="S99" s="104"/>
      <c r="T99" s="104"/>
      <c r="U99" s="104"/>
      <c r="V99" s="104"/>
      <c r="W99" s="104"/>
      <c r="X99" s="104"/>
      <c r="Y99" s="104"/>
      <c r="Z99" s="104"/>
      <c r="AA99" s="111"/>
      <c r="AB99" s="104"/>
      <c r="AC99" s="104"/>
      <c r="AD99" s="104"/>
      <c r="AE99" s="104"/>
      <c r="AF99" s="104"/>
      <c r="AG99" s="104"/>
      <c r="AH99" s="104"/>
      <c r="AI99" s="112"/>
      <c r="AJ99" s="111"/>
      <c r="AK99" s="111"/>
      <c r="AL99" s="111"/>
      <c r="AM99" s="111"/>
      <c r="AN99" s="111"/>
      <c r="AO99" s="111"/>
      <c r="AP99" s="111"/>
      <c r="AQ99" s="111"/>
      <c r="AR99" s="104"/>
      <c r="AS99" s="104"/>
    </row>
    <row r="100" spans="1:45">
      <c r="A100" s="111"/>
      <c r="B100" s="111"/>
      <c r="C100" s="111"/>
      <c r="D100" s="111"/>
      <c r="E100" s="111"/>
      <c r="F100" s="104"/>
      <c r="G100" s="111"/>
      <c r="H100" s="111"/>
      <c r="I100" s="111"/>
      <c r="J100" s="111"/>
      <c r="K100" s="111"/>
      <c r="L100" s="111"/>
      <c r="M100" s="111"/>
      <c r="N100" s="111"/>
      <c r="O100" s="111"/>
      <c r="P100" s="104"/>
      <c r="Q100" s="111"/>
      <c r="R100" s="111"/>
      <c r="S100" s="104"/>
      <c r="T100" s="104"/>
      <c r="U100" s="104"/>
      <c r="V100" s="104"/>
      <c r="W100" s="104"/>
      <c r="X100" s="104"/>
      <c r="Y100" s="104"/>
      <c r="Z100" s="104"/>
      <c r="AA100" s="111"/>
      <c r="AB100" s="104"/>
      <c r="AC100" s="104"/>
      <c r="AD100" s="104"/>
      <c r="AE100" s="104"/>
      <c r="AF100" s="104"/>
      <c r="AG100" s="104"/>
      <c r="AH100" s="104"/>
      <c r="AI100" s="112"/>
      <c r="AJ100" s="111"/>
      <c r="AK100" s="111"/>
      <c r="AL100" s="111"/>
      <c r="AM100" s="111"/>
      <c r="AN100" s="111"/>
      <c r="AO100" s="111"/>
      <c r="AP100" s="111"/>
      <c r="AQ100" s="111"/>
      <c r="AR100" s="104"/>
      <c r="AS100" s="104"/>
    </row>
    <row r="101" spans="1:45">
      <c r="A101" s="111"/>
      <c r="B101" s="111"/>
      <c r="C101" s="111"/>
      <c r="D101" s="111"/>
      <c r="E101" s="111"/>
      <c r="F101" s="104"/>
      <c r="G101" s="111"/>
      <c r="H101" s="111"/>
      <c r="I101" s="111"/>
      <c r="J101" s="111"/>
      <c r="K101" s="111"/>
      <c r="L101" s="111"/>
      <c r="M101" s="111"/>
      <c r="N101" s="111"/>
      <c r="O101" s="111"/>
      <c r="P101" s="104"/>
      <c r="Q101" s="111"/>
      <c r="R101" s="111"/>
      <c r="S101" s="104"/>
      <c r="T101" s="104"/>
      <c r="U101" s="104"/>
      <c r="V101" s="104"/>
      <c r="W101" s="104"/>
      <c r="X101" s="104"/>
      <c r="Y101" s="104"/>
      <c r="Z101" s="104"/>
      <c r="AA101" s="111"/>
      <c r="AB101" s="104"/>
      <c r="AC101" s="104"/>
      <c r="AD101" s="104"/>
      <c r="AE101" s="104"/>
      <c r="AF101" s="104"/>
      <c r="AG101" s="104"/>
      <c r="AH101" s="104"/>
      <c r="AI101" s="112"/>
      <c r="AJ101" s="111"/>
      <c r="AK101" s="111"/>
      <c r="AL101" s="111"/>
      <c r="AM101" s="111"/>
      <c r="AN101" s="111"/>
      <c r="AO101" s="111"/>
      <c r="AP101" s="111"/>
      <c r="AQ101" s="111"/>
      <c r="AR101" s="104"/>
      <c r="AS101" s="104"/>
    </row>
    <row r="102" spans="1:45">
      <c r="A102" s="111"/>
      <c r="B102" s="111"/>
      <c r="C102" s="111"/>
      <c r="D102" s="111"/>
      <c r="E102" s="111"/>
      <c r="F102" s="104"/>
      <c r="G102" s="111"/>
      <c r="H102" s="111"/>
      <c r="I102" s="111"/>
      <c r="J102" s="111"/>
      <c r="K102" s="111"/>
      <c r="L102" s="111"/>
      <c r="M102" s="111"/>
      <c r="N102" s="111"/>
      <c r="O102" s="111"/>
      <c r="P102" s="104"/>
      <c r="Q102" s="111"/>
      <c r="R102" s="111"/>
      <c r="S102" s="104"/>
      <c r="T102" s="104"/>
      <c r="U102" s="104"/>
      <c r="V102" s="104"/>
      <c r="W102" s="104"/>
      <c r="X102" s="104"/>
      <c r="Y102" s="104"/>
      <c r="Z102" s="104"/>
      <c r="AA102" s="111"/>
      <c r="AB102" s="104"/>
      <c r="AC102" s="104"/>
      <c r="AD102" s="104"/>
      <c r="AE102" s="104"/>
      <c r="AF102" s="104"/>
      <c r="AG102" s="104"/>
      <c r="AH102" s="104"/>
      <c r="AI102" s="112"/>
      <c r="AJ102" s="111"/>
      <c r="AK102" s="111"/>
      <c r="AL102" s="111"/>
      <c r="AM102" s="111"/>
      <c r="AN102" s="111"/>
      <c r="AO102" s="111"/>
      <c r="AP102" s="111"/>
      <c r="AQ102" s="111"/>
      <c r="AR102" s="104"/>
      <c r="AS102" s="104"/>
    </row>
    <row r="103" spans="1:45">
      <c r="A103" s="111"/>
      <c r="B103" s="111"/>
      <c r="C103" s="111"/>
      <c r="D103" s="111"/>
      <c r="E103" s="111"/>
      <c r="F103" s="104"/>
      <c r="G103" s="111"/>
      <c r="H103" s="111"/>
      <c r="I103" s="111"/>
      <c r="J103" s="111"/>
      <c r="K103" s="111"/>
      <c r="L103" s="111"/>
      <c r="M103" s="111"/>
      <c r="N103" s="111"/>
      <c r="O103" s="111"/>
      <c r="P103" s="104"/>
      <c r="Q103" s="111"/>
      <c r="R103" s="111"/>
      <c r="S103" s="104"/>
      <c r="T103" s="104"/>
      <c r="U103" s="104"/>
      <c r="V103" s="104"/>
      <c r="W103" s="104"/>
      <c r="X103" s="104"/>
      <c r="Y103" s="104"/>
      <c r="Z103" s="104"/>
      <c r="AA103" s="111"/>
      <c r="AB103" s="104"/>
      <c r="AC103" s="104"/>
      <c r="AD103" s="104"/>
      <c r="AE103" s="104"/>
      <c r="AF103" s="104"/>
      <c r="AG103" s="104"/>
      <c r="AH103" s="104"/>
      <c r="AI103" s="112"/>
      <c r="AJ103" s="111"/>
      <c r="AK103" s="111"/>
      <c r="AL103" s="111"/>
      <c r="AM103" s="111"/>
      <c r="AN103" s="111"/>
      <c r="AO103" s="111"/>
      <c r="AP103" s="111"/>
      <c r="AQ103" s="111"/>
      <c r="AR103" s="104"/>
      <c r="AS103" s="104"/>
    </row>
    <row r="104" spans="1:45">
      <c r="A104" s="111"/>
      <c r="B104" s="111"/>
      <c r="C104" s="111"/>
      <c r="D104" s="111"/>
      <c r="E104" s="111"/>
      <c r="F104" s="104"/>
      <c r="G104" s="111"/>
      <c r="H104" s="111"/>
      <c r="I104" s="111"/>
      <c r="J104" s="111"/>
      <c r="K104" s="111"/>
      <c r="L104" s="111"/>
      <c r="M104" s="111"/>
      <c r="N104" s="111"/>
      <c r="O104" s="111"/>
      <c r="P104" s="104"/>
      <c r="Q104" s="111"/>
      <c r="R104" s="111"/>
      <c r="S104" s="104"/>
      <c r="T104" s="104"/>
      <c r="U104" s="104"/>
      <c r="V104" s="104"/>
      <c r="W104" s="104"/>
      <c r="X104" s="104"/>
      <c r="Y104" s="104"/>
      <c r="Z104" s="104"/>
      <c r="AA104" s="111"/>
      <c r="AB104" s="104"/>
      <c r="AC104" s="104"/>
      <c r="AD104" s="104"/>
      <c r="AE104" s="104"/>
      <c r="AF104" s="104"/>
      <c r="AG104" s="104"/>
      <c r="AH104" s="104"/>
      <c r="AI104" s="112"/>
      <c r="AJ104" s="111"/>
      <c r="AK104" s="111"/>
      <c r="AL104" s="111"/>
      <c r="AM104" s="111"/>
      <c r="AN104" s="111"/>
      <c r="AO104" s="111"/>
      <c r="AP104" s="111"/>
      <c r="AQ104" s="111"/>
      <c r="AR104" s="104"/>
      <c r="AS104" s="104"/>
    </row>
    <row r="105" spans="1:45">
      <c r="A105" s="111"/>
      <c r="B105" s="111"/>
      <c r="C105" s="111"/>
      <c r="D105" s="111"/>
      <c r="E105" s="111"/>
      <c r="F105" s="104"/>
      <c r="G105" s="111"/>
      <c r="H105" s="111"/>
      <c r="I105" s="111"/>
      <c r="J105" s="111"/>
      <c r="K105" s="111"/>
      <c r="L105" s="111"/>
      <c r="M105" s="111"/>
      <c r="N105" s="111"/>
      <c r="O105" s="111"/>
      <c r="P105" s="104"/>
      <c r="Q105" s="111"/>
      <c r="R105" s="111"/>
      <c r="S105" s="104"/>
      <c r="T105" s="104"/>
      <c r="U105" s="104"/>
      <c r="V105" s="104"/>
      <c r="W105" s="104"/>
      <c r="X105" s="104"/>
      <c r="Y105" s="104"/>
      <c r="Z105" s="104"/>
      <c r="AA105" s="111"/>
      <c r="AB105" s="104"/>
      <c r="AC105" s="104"/>
      <c r="AD105" s="104"/>
      <c r="AE105" s="104"/>
      <c r="AF105" s="104"/>
      <c r="AG105" s="104"/>
      <c r="AH105" s="104"/>
      <c r="AI105" s="112"/>
      <c r="AJ105" s="111"/>
      <c r="AK105" s="111"/>
      <c r="AL105" s="111"/>
      <c r="AM105" s="111"/>
      <c r="AN105" s="111"/>
      <c r="AO105" s="111"/>
      <c r="AP105" s="111"/>
      <c r="AQ105" s="111"/>
      <c r="AR105" s="104"/>
      <c r="AS105" s="104"/>
    </row>
    <row r="106" spans="1:45">
      <c r="A106" s="111"/>
      <c r="B106" s="111"/>
      <c r="C106" s="111"/>
      <c r="D106" s="111"/>
      <c r="E106" s="111"/>
      <c r="F106" s="104"/>
      <c r="G106" s="111"/>
      <c r="H106" s="111"/>
      <c r="I106" s="111"/>
      <c r="J106" s="111"/>
      <c r="K106" s="111"/>
      <c r="L106" s="111"/>
      <c r="M106" s="111"/>
      <c r="N106" s="111"/>
      <c r="O106" s="111"/>
      <c r="P106" s="104"/>
      <c r="Q106" s="111"/>
      <c r="R106" s="111"/>
      <c r="S106" s="104"/>
      <c r="T106" s="104"/>
      <c r="U106" s="104"/>
      <c r="V106" s="104"/>
      <c r="W106" s="104"/>
      <c r="X106" s="104"/>
      <c r="Y106" s="104"/>
      <c r="Z106" s="104"/>
      <c r="AA106" s="111"/>
      <c r="AB106" s="104"/>
      <c r="AC106" s="104"/>
      <c r="AD106" s="104"/>
      <c r="AE106" s="104"/>
      <c r="AF106" s="104"/>
      <c r="AG106" s="104"/>
      <c r="AH106" s="104"/>
      <c r="AI106" s="112"/>
      <c r="AJ106" s="111"/>
      <c r="AK106" s="111"/>
      <c r="AL106" s="111"/>
      <c r="AM106" s="111"/>
      <c r="AN106" s="111"/>
      <c r="AO106" s="111"/>
      <c r="AP106" s="111"/>
      <c r="AQ106" s="111"/>
      <c r="AR106" s="104"/>
      <c r="AS106" s="104"/>
    </row>
    <row r="107" spans="1:45">
      <c r="A107" s="111"/>
      <c r="B107" s="111"/>
      <c r="C107" s="111"/>
      <c r="D107" s="111"/>
      <c r="E107" s="111"/>
      <c r="F107" s="104"/>
      <c r="G107" s="111"/>
      <c r="H107" s="111"/>
      <c r="I107" s="111"/>
      <c r="J107" s="111"/>
      <c r="K107" s="111"/>
      <c r="L107" s="111"/>
      <c r="M107" s="111"/>
      <c r="N107" s="111"/>
      <c r="O107" s="111"/>
      <c r="P107" s="104"/>
      <c r="Q107" s="111"/>
      <c r="R107" s="111"/>
      <c r="S107" s="104"/>
      <c r="T107" s="104"/>
      <c r="U107" s="104"/>
      <c r="V107" s="104"/>
      <c r="W107" s="104"/>
      <c r="X107" s="104"/>
      <c r="Y107" s="104"/>
      <c r="Z107" s="104"/>
      <c r="AA107" s="111"/>
      <c r="AB107" s="104"/>
      <c r="AC107" s="104"/>
      <c r="AD107" s="104"/>
      <c r="AE107" s="104"/>
      <c r="AF107" s="104"/>
      <c r="AG107" s="104"/>
      <c r="AH107" s="104"/>
      <c r="AI107" s="112"/>
      <c r="AJ107" s="111"/>
      <c r="AK107" s="111"/>
      <c r="AL107" s="111"/>
      <c r="AM107" s="111"/>
      <c r="AN107" s="111"/>
      <c r="AO107" s="111"/>
      <c r="AP107" s="111"/>
      <c r="AQ107" s="111"/>
      <c r="AR107" s="104"/>
      <c r="AS107" s="104"/>
    </row>
    <row r="108" spans="1:45">
      <c r="A108" s="111"/>
      <c r="B108" s="111"/>
      <c r="C108" s="111"/>
      <c r="D108" s="111"/>
      <c r="E108" s="111"/>
      <c r="F108" s="104"/>
      <c r="G108" s="111"/>
      <c r="H108" s="111"/>
      <c r="I108" s="111"/>
      <c r="J108" s="111"/>
      <c r="K108" s="111"/>
      <c r="L108" s="111"/>
      <c r="M108" s="111"/>
      <c r="N108" s="111"/>
      <c r="O108" s="111"/>
      <c r="P108" s="104"/>
      <c r="Q108" s="111"/>
      <c r="R108" s="111"/>
      <c r="S108" s="104"/>
      <c r="T108" s="104"/>
      <c r="U108" s="104"/>
      <c r="V108" s="104"/>
      <c r="W108" s="104"/>
      <c r="X108" s="104"/>
      <c r="Y108" s="104"/>
      <c r="Z108" s="104"/>
      <c r="AA108" s="111"/>
      <c r="AB108" s="104"/>
      <c r="AC108" s="104"/>
      <c r="AD108" s="104"/>
      <c r="AE108" s="104"/>
      <c r="AF108" s="104"/>
      <c r="AG108" s="104"/>
      <c r="AH108" s="104"/>
      <c r="AI108" s="112"/>
      <c r="AJ108" s="111"/>
      <c r="AK108" s="111"/>
      <c r="AL108" s="111"/>
      <c r="AM108" s="111"/>
      <c r="AN108" s="111"/>
      <c r="AO108" s="111"/>
      <c r="AP108" s="111"/>
      <c r="AQ108" s="111"/>
      <c r="AR108" s="104"/>
      <c r="AS108" s="104"/>
    </row>
    <row r="109" spans="1:45">
      <c r="A109" s="111"/>
      <c r="B109" s="111"/>
      <c r="C109" s="111"/>
      <c r="D109" s="111"/>
      <c r="E109" s="111"/>
      <c r="F109" s="104"/>
      <c r="G109" s="111"/>
      <c r="H109" s="111"/>
      <c r="I109" s="111"/>
      <c r="J109" s="111"/>
      <c r="K109" s="111"/>
      <c r="L109" s="111"/>
      <c r="M109" s="111"/>
      <c r="N109" s="111"/>
      <c r="O109" s="111"/>
      <c r="P109" s="104"/>
      <c r="Q109" s="111"/>
      <c r="R109" s="111"/>
      <c r="S109" s="104"/>
      <c r="T109" s="104"/>
      <c r="U109" s="104"/>
      <c r="V109" s="104"/>
      <c r="W109" s="104"/>
      <c r="X109" s="104"/>
      <c r="Y109" s="104"/>
      <c r="Z109" s="104"/>
      <c r="AA109" s="111"/>
      <c r="AB109" s="104"/>
      <c r="AC109" s="104"/>
      <c r="AD109" s="104"/>
      <c r="AE109" s="104"/>
      <c r="AF109" s="104"/>
      <c r="AG109" s="104"/>
      <c r="AH109" s="104"/>
      <c r="AI109" s="112"/>
      <c r="AJ109" s="111"/>
      <c r="AK109" s="111"/>
      <c r="AL109" s="111"/>
      <c r="AM109" s="111"/>
      <c r="AN109" s="111"/>
      <c r="AO109" s="111"/>
      <c r="AP109" s="111"/>
      <c r="AQ109" s="111"/>
      <c r="AR109" s="104"/>
      <c r="AS109" s="104"/>
    </row>
    <row r="110" spans="1:45">
      <c r="A110" s="111"/>
      <c r="B110" s="111"/>
      <c r="C110" s="111"/>
      <c r="D110" s="111"/>
      <c r="E110" s="111"/>
      <c r="F110" s="104"/>
      <c r="G110" s="111"/>
      <c r="H110" s="111"/>
      <c r="I110" s="111"/>
      <c r="J110" s="111"/>
      <c r="K110" s="111"/>
      <c r="L110" s="111"/>
      <c r="M110" s="111"/>
      <c r="N110" s="111"/>
      <c r="O110" s="111"/>
      <c r="P110" s="104"/>
      <c r="Q110" s="111"/>
      <c r="R110" s="111"/>
      <c r="S110" s="104"/>
      <c r="T110" s="104"/>
      <c r="U110" s="104"/>
      <c r="V110" s="104"/>
      <c r="W110" s="104"/>
      <c r="X110" s="104"/>
      <c r="Y110" s="104"/>
      <c r="Z110" s="104"/>
      <c r="AA110" s="111"/>
      <c r="AB110" s="104"/>
      <c r="AC110" s="104"/>
      <c r="AD110" s="104"/>
      <c r="AE110" s="104"/>
      <c r="AF110" s="104"/>
      <c r="AG110" s="104"/>
      <c r="AH110" s="104"/>
      <c r="AI110" s="112"/>
      <c r="AJ110" s="111"/>
      <c r="AK110" s="111"/>
      <c r="AL110" s="111"/>
      <c r="AM110" s="111"/>
      <c r="AN110" s="111"/>
      <c r="AO110" s="111"/>
      <c r="AP110" s="111"/>
      <c r="AQ110" s="111"/>
      <c r="AR110" s="104"/>
      <c r="AS110" s="104"/>
    </row>
    <row r="111" spans="1:45">
      <c r="A111" s="111"/>
      <c r="B111" s="111"/>
      <c r="C111" s="111"/>
      <c r="D111" s="111"/>
      <c r="E111" s="111"/>
      <c r="F111" s="104"/>
      <c r="G111" s="111"/>
      <c r="H111" s="111"/>
      <c r="I111" s="111"/>
      <c r="J111" s="111"/>
      <c r="K111" s="111"/>
      <c r="L111" s="111"/>
      <c r="M111" s="111"/>
      <c r="N111" s="111"/>
      <c r="O111" s="111"/>
      <c r="P111" s="104"/>
      <c r="Q111" s="111"/>
      <c r="R111" s="111"/>
      <c r="S111" s="104"/>
      <c r="T111" s="104"/>
      <c r="U111" s="104"/>
      <c r="V111" s="104"/>
      <c r="W111" s="104"/>
      <c r="X111" s="104"/>
      <c r="Y111" s="104"/>
      <c r="Z111" s="104"/>
      <c r="AA111" s="111"/>
      <c r="AB111" s="104"/>
      <c r="AC111" s="104"/>
      <c r="AD111" s="104"/>
      <c r="AE111" s="104"/>
      <c r="AF111" s="104"/>
      <c r="AG111" s="104"/>
      <c r="AH111" s="104"/>
      <c r="AI111" s="112"/>
      <c r="AJ111" s="111"/>
      <c r="AK111" s="111"/>
      <c r="AL111" s="111"/>
      <c r="AM111" s="111"/>
      <c r="AN111" s="111"/>
      <c r="AO111" s="111"/>
      <c r="AP111" s="111"/>
      <c r="AQ111" s="111"/>
      <c r="AR111" s="104"/>
      <c r="AS111" s="104"/>
    </row>
    <row r="112" spans="1:45">
      <c r="A112" s="111"/>
      <c r="B112" s="111"/>
      <c r="C112" s="111"/>
      <c r="D112" s="111"/>
      <c r="E112" s="111"/>
      <c r="F112" s="104"/>
      <c r="G112" s="111"/>
      <c r="H112" s="111"/>
      <c r="I112" s="111"/>
      <c r="J112" s="111"/>
      <c r="K112" s="111"/>
      <c r="L112" s="111"/>
      <c r="M112" s="111"/>
      <c r="N112" s="111"/>
      <c r="O112" s="111"/>
      <c r="P112" s="104"/>
      <c r="Q112" s="111"/>
      <c r="R112" s="111"/>
      <c r="S112" s="104"/>
      <c r="T112" s="104"/>
      <c r="U112" s="104"/>
      <c r="V112" s="104"/>
      <c r="W112" s="104"/>
      <c r="X112" s="104"/>
      <c r="Y112" s="104"/>
      <c r="Z112" s="104"/>
      <c r="AA112" s="111"/>
      <c r="AB112" s="104"/>
      <c r="AC112" s="104"/>
      <c r="AD112" s="104"/>
      <c r="AE112" s="104"/>
      <c r="AF112" s="104"/>
      <c r="AG112" s="104"/>
      <c r="AH112" s="104"/>
      <c r="AI112" s="112"/>
      <c r="AJ112" s="111"/>
      <c r="AK112" s="111"/>
      <c r="AL112" s="111"/>
      <c r="AM112" s="111"/>
      <c r="AN112" s="111"/>
      <c r="AO112" s="111"/>
      <c r="AP112" s="111"/>
      <c r="AQ112" s="111"/>
      <c r="AR112" s="104"/>
      <c r="AS112" s="104"/>
    </row>
    <row r="113" spans="1:45">
      <c r="A113" s="111"/>
      <c r="B113" s="111"/>
      <c r="C113" s="111"/>
      <c r="D113" s="111"/>
      <c r="E113" s="111"/>
      <c r="F113" s="104"/>
      <c r="G113" s="111"/>
      <c r="H113" s="111"/>
      <c r="I113" s="111"/>
      <c r="J113" s="111"/>
      <c r="K113" s="111"/>
      <c r="L113" s="111"/>
      <c r="M113" s="111"/>
      <c r="N113" s="111"/>
      <c r="O113" s="111"/>
      <c r="P113" s="104"/>
      <c r="Q113" s="111"/>
      <c r="R113" s="111"/>
      <c r="S113" s="104"/>
      <c r="T113" s="104"/>
      <c r="U113" s="104"/>
      <c r="V113" s="104"/>
      <c r="W113" s="104"/>
      <c r="X113" s="104"/>
      <c r="Y113" s="104"/>
      <c r="Z113" s="104"/>
      <c r="AA113" s="111"/>
      <c r="AB113" s="104"/>
      <c r="AC113" s="104"/>
      <c r="AD113" s="104"/>
      <c r="AE113" s="104"/>
      <c r="AF113" s="104"/>
      <c r="AG113" s="104"/>
      <c r="AH113" s="104"/>
      <c r="AI113" s="112"/>
      <c r="AJ113" s="111"/>
      <c r="AK113" s="111"/>
      <c r="AL113" s="111"/>
      <c r="AM113" s="111"/>
      <c r="AN113" s="111"/>
      <c r="AO113" s="111"/>
      <c r="AP113" s="111"/>
      <c r="AQ113" s="111"/>
      <c r="AR113" s="104"/>
      <c r="AS113" s="104"/>
    </row>
  </sheetData>
  <mergeCells count="10">
    <mergeCell ref="A1:D1"/>
    <mergeCell ref="A2:D2"/>
    <mergeCell ref="E1:G1"/>
    <mergeCell ref="E2:G2"/>
    <mergeCell ref="Q1:U1"/>
    <mergeCell ref="Q2:U2"/>
    <mergeCell ref="H1:L1"/>
    <mergeCell ref="H2:L2"/>
    <mergeCell ref="M1:P1"/>
    <mergeCell ref="M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utton1_Click">
                <anchor moveWithCells="1" sizeWithCells="1">
                  <from>
                    <xdr:col>8</xdr:col>
                    <xdr:colOff>76200</xdr:colOff>
                    <xdr:row>0</xdr:row>
                    <xdr:rowOff>104775</xdr:rowOff>
                  </from>
                  <to>
                    <xdr:col>11</xdr:col>
                    <xdr:colOff>190500</xdr:colOff>
                    <xdr:row>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A21"/>
  <sheetViews>
    <sheetView topLeftCell="A7" workbookViewId="0">
      <selection activeCell="A15" sqref="A15:XFD15"/>
    </sheetView>
  </sheetViews>
  <sheetFormatPr defaultColWidth="8.85546875" defaultRowHeight="15"/>
  <cols>
    <col min="1" max="1" width="12.42578125" bestFit="1" customWidth="1"/>
    <col min="2" max="2" width="11.42578125" bestFit="1" customWidth="1"/>
    <col min="3" max="3" width="24.42578125" bestFit="1" customWidth="1"/>
    <col min="5" max="5" width="15.42578125" bestFit="1" customWidth="1"/>
  </cols>
  <sheetData>
    <row r="1" spans="1:79">
      <c r="A1" t="s">
        <v>35</v>
      </c>
      <c r="B1" t="s">
        <v>36</v>
      </c>
      <c r="C1" t="s">
        <v>45</v>
      </c>
      <c r="D1" t="s">
        <v>23</v>
      </c>
      <c r="E1" t="s">
        <v>46</v>
      </c>
      <c r="F1" t="s">
        <v>29</v>
      </c>
      <c r="G1">
        <v>1</v>
      </c>
      <c r="H1">
        <v>0.5</v>
      </c>
      <c r="I1" s="1" t="s">
        <v>37</v>
      </c>
      <c r="J1" s="1" t="s">
        <v>38</v>
      </c>
      <c r="K1" s="1" t="s">
        <v>37</v>
      </c>
      <c r="L1" s="1" t="s">
        <v>38</v>
      </c>
      <c r="M1" t="s">
        <v>146</v>
      </c>
      <c r="N1" s="68">
        <v>3.5</v>
      </c>
      <c r="O1" s="42" t="s">
        <v>162</v>
      </c>
    </row>
    <row r="2" spans="1:79" ht="19.5" customHeight="1">
      <c r="A2" t="s">
        <v>47</v>
      </c>
      <c r="B2" t="s">
        <v>48</v>
      </c>
      <c r="C2" t="s">
        <v>49</v>
      </c>
      <c r="D2" t="s">
        <v>50</v>
      </c>
      <c r="E2" t="s">
        <v>51</v>
      </c>
      <c r="F2" t="s">
        <v>52</v>
      </c>
      <c r="G2">
        <v>2</v>
      </c>
      <c r="H2">
        <v>1</v>
      </c>
      <c r="I2" s="7" t="s">
        <v>39</v>
      </c>
      <c r="J2" s="7" t="s">
        <v>40</v>
      </c>
      <c r="K2" s="1" t="s">
        <v>64</v>
      </c>
      <c r="L2" s="1" t="s">
        <v>40</v>
      </c>
      <c r="M2" t="s">
        <v>147</v>
      </c>
      <c r="N2" s="68">
        <v>5.5</v>
      </c>
      <c r="O2" t="s">
        <v>163</v>
      </c>
    </row>
    <row r="3" spans="1:79">
      <c r="A3" t="s">
        <v>53</v>
      </c>
      <c r="B3" t="s">
        <v>175</v>
      </c>
      <c r="D3" t="s">
        <v>54</v>
      </c>
      <c r="E3" t="s">
        <v>55</v>
      </c>
      <c r="G3">
        <v>3</v>
      </c>
      <c r="H3">
        <v>1.5</v>
      </c>
      <c r="I3" s="1" t="s">
        <v>27</v>
      </c>
      <c r="J3" s="1" t="s">
        <v>28</v>
      </c>
      <c r="M3" t="s">
        <v>148</v>
      </c>
      <c r="O3" t="s">
        <v>164</v>
      </c>
    </row>
    <row r="4" spans="1:79">
      <c r="A4" t="s">
        <v>56</v>
      </c>
      <c r="D4" t="s">
        <v>57</v>
      </c>
      <c r="G4">
        <v>4</v>
      </c>
      <c r="H4">
        <v>2</v>
      </c>
      <c r="I4" s="1" t="s">
        <v>60</v>
      </c>
      <c r="J4" s="1" t="s">
        <v>34</v>
      </c>
      <c r="M4" t="s">
        <v>149</v>
      </c>
    </row>
    <row r="5" spans="1:79">
      <c r="A5" t="s">
        <v>58</v>
      </c>
      <c r="G5">
        <v>5</v>
      </c>
      <c r="H5">
        <v>2.5</v>
      </c>
      <c r="I5" s="1" t="s">
        <v>25</v>
      </c>
      <c r="J5" s="1" t="s">
        <v>26</v>
      </c>
      <c r="M5" t="s">
        <v>150</v>
      </c>
    </row>
    <row r="6" spans="1:79">
      <c r="A6" t="s">
        <v>33</v>
      </c>
      <c r="G6">
        <v>6</v>
      </c>
      <c r="H6">
        <v>3</v>
      </c>
      <c r="I6" s="1" t="s">
        <v>61</v>
      </c>
      <c r="J6" s="1" t="s">
        <v>62</v>
      </c>
      <c r="M6" t="s">
        <v>151</v>
      </c>
    </row>
    <row r="7" spans="1:79" ht="30">
      <c r="A7" t="s">
        <v>59</v>
      </c>
      <c r="I7" s="1" t="s">
        <v>30</v>
      </c>
      <c r="J7" s="1" t="s">
        <v>63</v>
      </c>
      <c r="M7" t="s">
        <v>152</v>
      </c>
    </row>
    <row r="8" spans="1:79">
      <c r="M8" t="s">
        <v>153</v>
      </c>
    </row>
    <row r="13" spans="1:79" ht="15.75" thickBot="1"/>
    <row r="14" spans="1:79" ht="150">
      <c r="A14" s="12" t="s">
        <v>77</v>
      </c>
      <c r="B14" s="103" t="s">
        <v>78</v>
      </c>
      <c r="C14" s="103" t="s">
        <v>79</v>
      </c>
      <c r="D14" s="103" t="s">
        <v>80</v>
      </c>
      <c r="E14" s="14" t="s">
        <v>81</v>
      </c>
      <c r="F14" s="14" t="s">
        <v>82</v>
      </c>
      <c r="G14" s="14" t="s">
        <v>83</v>
      </c>
      <c r="H14" s="14" t="s">
        <v>84</v>
      </c>
      <c r="I14" s="14" t="s">
        <v>85</v>
      </c>
      <c r="J14" s="14" t="s">
        <v>86</v>
      </c>
      <c r="K14" s="15" t="s">
        <v>87</v>
      </c>
      <c r="L14" s="14" t="s">
        <v>88</v>
      </c>
      <c r="M14" s="14" t="s">
        <v>89</v>
      </c>
      <c r="N14" s="66" t="s">
        <v>143</v>
      </c>
      <c r="O14" s="66" t="s">
        <v>144</v>
      </c>
      <c r="P14" s="66" t="s">
        <v>145</v>
      </c>
      <c r="Q14" s="67" t="s">
        <v>90</v>
      </c>
      <c r="R14" s="103" t="s">
        <v>91</v>
      </c>
      <c r="S14" s="103" t="s">
        <v>92</v>
      </c>
      <c r="T14" s="16" t="s">
        <v>93</v>
      </c>
      <c r="U14" s="16" t="s">
        <v>94</v>
      </c>
      <c r="V14" s="16" t="s">
        <v>95</v>
      </c>
      <c r="W14" s="17" t="s">
        <v>96</v>
      </c>
      <c r="X14" s="42"/>
      <c r="Y14" s="12" t="s">
        <v>97</v>
      </c>
      <c r="Z14" s="103" t="s">
        <v>78</v>
      </c>
      <c r="AA14" s="103" t="s">
        <v>79</v>
      </c>
      <c r="AB14" s="103" t="s">
        <v>80</v>
      </c>
      <c r="AC14" s="14" t="s">
        <v>98</v>
      </c>
      <c r="AD14" s="14" t="s">
        <v>82</v>
      </c>
      <c r="AE14" s="14" t="s">
        <v>83</v>
      </c>
      <c r="AF14" s="14" t="s">
        <v>99</v>
      </c>
      <c r="AG14" s="14" t="s">
        <v>100</v>
      </c>
      <c r="AH14" s="14" t="s">
        <v>86</v>
      </c>
      <c r="AI14" s="15" t="s">
        <v>87</v>
      </c>
      <c r="AJ14" s="14" t="s">
        <v>101</v>
      </c>
      <c r="AK14" s="14" t="s">
        <v>169</v>
      </c>
      <c r="AL14" s="14" t="s">
        <v>170</v>
      </c>
      <c r="AM14" s="14" t="s">
        <v>89</v>
      </c>
      <c r="AN14" s="66" t="s">
        <v>143</v>
      </c>
      <c r="AO14" s="66" t="s">
        <v>144</v>
      </c>
      <c r="AP14" s="66" t="s">
        <v>145</v>
      </c>
      <c r="AQ14" s="103" t="s">
        <v>102</v>
      </c>
      <c r="AR14" s="103" t="s">
        <v>92</v>
      </c>
      <c r="AS14" s="16" t="s">
        <v>93</v>
      </c>
      <c r="AT14" s="16" t="s">
        <v>94</v>
      </c>
      <c r="AU14" s="16" t="s">
        <v>95</v>
      </c>
      <c r="AV14" s="17" t="s">
        <v>96</v>
      </c>
      <c r="AW14" s="42"/>
      <c r="AX14" s="12" t="s">
        <v>97</v>
      </c>
      <c r="AY14" s="103" t="s">
        <v>78</v>
      </c>
      <c r="AZ14" s="103" t="s">
        <v>79</v>
      </c>
      <c r="BA14" s="103" t="s">
        <v>80</v>
      </c>
      <c r="BB14" s="14" t="s">
        <v>98</v>
      </c>
      <c r="BC14" s="14" t="s">
        <v>82</v>
      </c>
      <c r="BD14" s="14" t="s">
        <v>83</v>
      </c>
      <c r="BE14" s="14" t="s">
        <v>99</v>
      </c>
      <c r="BF14" s="14" t="s">
        <v>100</v>
      </c>
      <c r="BG14" s="14" t="s">
        <v>86</v>
      </c>
      <c r="BH14" s="15" t="s">
        <v>87</v>
      </c>
      <c r="BI14" s="14" t="s">
        <v>101</v>
      </c>
      <c r="BJ14" s="14" t="s">
        <v>89</v>
      </c>
      <c r="BK14" s="66" t="s">
        <v>143</v>
      </c>
      <c r="BL14" s="66" t="s">
        <v>144</v>
      </c>
      <c r="BM14" s="66" t="s">
        <v>145</v>
      </c>
      <c r="BN14" s="14" t="s">
        <v>169</v>
      </c>
      <c r="BO14" s="14" t="s">
        <v>170</v>
      </c>
      <c r="BP14" s="103" t="s">
        <v>91</v>
      </c>
      <c r="BQ14" s="103" t="s">
        <v>92</v>
      </c>
      <c r="BR14" s="16" t="s">
        <v>93</v>
      </c>
      <c r="BS14" s="16" t="s">
        <v>94</v>
      </c>
      <c r="BT14" s="16" t="s">
        <v>95</v>
      </c>
      <c r="BU14" s="17" t="s">
        <v>96</v>
      </c>
      <c r="BV14" s="42"/>
      <c r="BW14" s="42"/>
      <c r="BX14" s="42"/>
      <c r="BY14" s="42"/>
      <c r="BZ14" s="42"/>
      <c r="CA14" s="42"/>
    </row>
    <row r="15" spans="1:79" ht="150">
      <c r="A15" s="12" t="s">
        <v>77</v>
      </c>
      <c r="B15" s="103" t="s">
        <v>78</v>
      </c>
      <c r="C15" s="103" t="s">
        <v>79</v>
      </c>
      <c r="D15" s="103" t="s">
        <v>80</v>
      </c>
      <c r="E15" s="14" t="s">
        <v>81</v>
      </c>
      <c r="F15" s="14" t="s">
        <v>82</v>
      </c>
      <c r="G15" s="14" t="s">
        <v>83</v>
      </c>
      <c r="H15" s="14" t="s">
        <v>99</v>
      </c>
      <c r="I15" s="14" t="s">
        <v>100</v>
      </c>
      <c r="J15" s="14" t="s">
        <v>86</v>
      </c>
      <c r="K15" s="14" t="s">
        <v>87</v>
      </c>
      <c r="L15" s="14" t="s">
        <v>101</v>
      </c>
      <c r="M15" s="14" t="s">
        <v>89</v>
      </c>
      <c r="O15" s="103" t="s">
        <v>179</v>
      </c>
      <c r="P15" s="103" t="s">
        <v>180</v>
      </c>
      <c r="Q15" s="14" t="s">
        <v>90</v>
      </c>
      <c r="R15" s="103" t="s">
        <v>181</v>
      </c>
      <c r="S15" s="103" t="s">
        <v>182</v>
      </c>
      <c r="T15" s="16" t="s">
        <v>93</v>
      </c>
      <c r="U15" s="16" t="s">
        <v>94</v>
      </c>
      <c r="V15" s="16" t="s">
        <v>95</v>
      </c>
      <c r="W15" s="17" t="s">
        <v>96</v>
      </c>
      <c r="X15" s="37"/>
      <c r="Y15" s="12" t="s">
        <v>97</v>
      </c>
      <c r="Z15" s="103" t="s">
        <v>78</v>
      </c>
      <c r="AA15" s="14" t="s">
        <v>82</v>
      </c>
      <c r="AB15" s="14" t="s">
        <v>83</v>
      </c>
      <c r="AC15" s="14" t="s">
        <v>81</v>
      </c>
      <c r="AD15" s="14" t="s">
        <v>82</v>
      </c>
      <c r="AE15" s="14" t="s">
        <v>83</v>
      </c>
      <c r="AF15" s="14" t="s">
        <v>99</v>
      </c>
      <c r="AG15" s="14" t="s">
        <v>100</v>
      </c>
      <c r="AH15" s="14" t="s">
        <v>86</v>
      </c>
      <c r="AI15" s="14" t="s">
        <v>87</v>
      </c>
      <c r="AJ15" s="14" t="s">
        <v>183</v>
      </c>
      <c r="AK15" s="14" t="s">
        <v>169</v>
      </c>
      <c r="AL15" s="14" t="s">
        <v>170</v>
      </c>
      <c r="AM15" s="14" t="s">
        <v>89</v>
      </c>
      <c r="AO15" s="103" t="s">
        <v>179</v>
      </c>
      <c r="AP15" s="103" t="s">
        <v>180</v>
      </c>
      <c r="AQ15" s="103" t="s">
        <v>181</v>
      </c>
      <c r="AR15" s="103" t="s">
        <v>182</v>
      </c>
      <c r="AS15" s="16" t="s">
        <v>93</v>
      </c>
      <c r="AT15" s="16" t="s">
        <v>94</v>
      </c>
      <c r="AU15" s="16" t="s">
        <v>95</v>
      </c>
      <c r="AV15" s="17" t="s">
        <v>96</v>
      </c>
      <c r="AW15" s="42"/>
      <c r="AX15" s="12" t="s">
        <v>97</v>
      </c>
      <c r="AY15" s="103" t="s">
        <v>78</v>
      </c>
      <c r="AZ15" s="103" t="s">
        <v>79</v>
      </c>
      <c r="BA15" s="103" t="s">
        <v>80</v>
      </c>
      <c r="BB15" s="14" t="s">
        <v>81</v>
      </c>
      <c r="BC15" s="14" t="s">
        <v>82</v>
      </c>
      <c r="BD15" s="14" t="s">
        <v>83</v>
      </c>
      <c r="BE15" s="14" t="s">
        <v>99</v>
      </c>
      <c r="BF15" s="14" t="s">
        <v>100</v>
      </c>
      <c r="BG15" s="14" t="s">
        <v>86</v>
      </c>
      <c r="BH15" s="14" t="s">
        <v>87</v>
      </c>
      <c r="BI15" s="14" t="s">
        <v>184</v>
      </c>
      <c r="BJ15" s="14" t="s">
        <v>89</v>
      </c>
      <c r="BL15" s="103" t="s">
        <v>179</v>
      </c>
      <c r="BM15" s="103" t="s">
        <v>180</v>
      </c>
      <c r="BN15" s="14" t="s">
        <v>169</v>
      </c>
      <c r="BO15" s="14" t="s">
        <v>170</v>
      </c>
      <c r="BP15" s="103" t="s">
        <v>181</v>
      </c>
      <c r="BQ15" s="103" t="s">
        <v>182</v>
      </c>
      <c r="BR15" s="16" t="s">
        <v>93</v>
      </c>
      <c r="BS15" s="16" t="s">
        <v>94</v>
      </c>
      <c r="BT15" s="16" t="s">
        <v>95</v>
      </c>
      <c r="BU15" s="17" t="s">
        <v>96</v>
      </c>
    </row>
    <row r="16" spans="1:79">
      <c r="L16" s="14"/>
    </row>
    <row r="21" spans="29:29">
      <c r="AC21" t="s">
        <v>168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A42"/>
  <sheetViews>
    <sheetView zoomScale="68" zoomScaleNormal="68" zoomScalePageLayoutView="85" workbookViewId="0">
      <pane ySplit="3" topLeftCell="A4" activePane="bottomLeft" state="frozen"/>
      <selection activeCell="AU1" sqref="AU1"/>
      <selection pane="bottomLeft" activeCell="U12" sqref="U12"/>
    </sheetView>
  </sheetViews>
  <sheetFormatPr defaultColWidth="8.85546875" defaultRowHeight="15"/>
  <sheetData>
    <row r="1" spans="1:79" ht="15.75" thickBot="1">
      <c r="A1" s="8">
        <v>1</v>
      </c>
      <c r="B1" s="99">
        <v>2</v>
      </c>
      <c r="C1" s="99">
        <v>3</v>
      </c>
      <c r="D1" s="99">
        <v>4</v>
      </c>
      <c r="E1" s="99">
        <v>5</v>
      </c>
      <c r="F1" s="99">
        <v>6</v>
      </c>
      <c r="G1" s="99">
        <v>7</v>
      </c>
      <c r="H1" s="99">
        <v>8</v>
      </c>
      <c r="I1" s="99">
        <v>9</v>
      </c>
      <c r="J1" s="99">
        <v>10</v>
      </c>
      <c r="K1" s="99">
        <v>11</v>
      </c>
      <c r="L1" s="99">
        <v>12</v>
      </c>
      <c r="M1" s="99">
        <v>13</v>
      </c>
      <c r="N1" s="99">
        <v>14</v>
      </c>
      <c r="O1" s="99">
        <v>15</v>
      </c>
      <c r="P1" s="99">
        <v>16</v>
      </c>
      <c r="Q1" s="99">
        <v>17</v>
      </c>
      <c r="R1" s="99">
        <v>18</v>
      </c>
      <c r="S1" s="99">
        <v>19</v>
      </c>
      <c r="T1" s="99">
        <v>20</v>
      </c>
      <c r="U1" s="99">
        <v>21</v>
      </c>
      <c r="V1" s="99">
        <v>22</v>
      </c>
      <c r="W1" s="99">
        <v>23</v>
      </c>
      <c r="X1" s="99">
        <v>24</v>
      </c>
      <c r="Y1" s="99">
        <v>25</v>
      </c>
      <c r="Z1" s="99">
        <v>26</v>
      </c>
      <c r="AA1" s="99">
        <v>27</v>
      </c>
      <c r="AB1" s="99">
        <v>28</v>
      </c>
      <c r="AC1" s="99">
        <v>29</v>
      </c>
      <c r="AD1" s="99">
        <v>30</v>
      </c>
      <c r="AE1" s="99">
        <v>31</v>
      </c>
      <c r="AF1" s="99">
        <v>32</v>
      </c>
      <c r="AG1" s="99">
        <v>33</v>
      </c>
      <c r="AH1" s="99">
        <v>34</v>
      </c>
      <c r="AI1" s="99">
        <v>35</v>
      </c>
      <c r="AJ1" s="99">
        <v>36</v>
      </c>
      <c r="AK1" s="99">
        <v>37</v>
      </c>
      <c r="AL1" s="100">
        <v>38</v>
      </c>
      <c r="AM1" s="100">
        <v>39</v>
      </c>
      <c r="AN1" s="100">
        <v>40</v>
      </c>
      <c r="AO1" s="100">
        <v>41</v>
      </c>
      <c r="AP1" s="100">
        <v>42</v>
      </c>
      <c r="AQ1" s="100">
        <v>43</v>
      </c>
      <c r="AR1" s="100">
        <v>44</v>
      </c>
      <c r="AS1" s="100">
        <v>45</v>
      </c>
      <c r="AT1" s="100">
        <v>46</v>
      </c>
      <c r="AU1" s="100">
        <v>47</v>
      </c>
      <c r="AV1" s="100">
        <v>48</v>
      </c>
      <c r="AW1" s="100">
        <v>49</v>
      </c>
      <c r="AX1" s="100">
        <v>50</v>
      </c>
      <c r="AY1" s="100">
        <v>51</v>
      </c>
      <c r="AZ1" s="100">
        <v>52</v>
      </c>
      <c r="BA1" s="100">
        <v>53</v>
      </c>
      <c r="BB1" s="100">
        <v>54</v>
      </c>
      <c r="BC1" s="100">
        <v>55</v>
      </c>
      <c r="BD1" s="100">
        <v>56</v>
      </c>
      <c r="BE1" s="100">
        <v>57</v>
      </c>
      <c r="BF1" s="100">
        <v>58</v>
      </c>
      <c r="BG1" s="100">
        <v>59</v>
      </c>
      <c r="BH1" s="100">
        <v>60</v>
      </c>
      <c r="BI1" s="100">
        <v>61</v>
      </c>
      <c r="BJ1" s="100">
        <v>62</v>
      </c>
      <c r="BK1" s="100">
        <v>63</v>
      </c>
      <c r="BL1" s="100">
        <v>64</v>
      </c>
      <c r="BM1" s="100">
        <v>65</v>
      </c>
      <c r="BN1" s="100">
        <v>66</v>
      </c>
      <c r="BO1" s="100">
        <v>67</v>
      </c>
      <c r="BP1" s="100">
        <v>68</v>
      </c>
      <c r="BQ1" s="100">
        <v>69</v>
      </c>
      <c r="BR1" s="100">
        <v>70</v>
      </c>
      <c r="BS1" s="100">
        <v>71</v>
      </c>
      <c r="BT1" s="100">
        <v>72</v>
      </c>
      <c r="BU1" s="100">
        <v>73</v>
      </c>
      <c r="BV1" s="6"/>
      <c r="BW1" s="6"/>
      <c r="BX1" s="6"/>
      <c r="BY1" s="6"/>
      <c r="BZ1" s="6"/>
      <c r="CA1" s="6"/>
    </row>
    <row r="2" spans="1:79" ht="15.75" thickBot="1">
      <c r="A2" s="143" t="s">
        <v>74</v>
      </c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5"/>
      <c r="X2" s="10"/>
      <c r="Y2" s="143" t="s">
        <v>75</v>
      </c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4"/>
      <c r="AN2" s="144"/>
      <c r="AO2" s="144"/>
      <c r="AP2" s="144"/>
      <c r="AQ2" s="144"/>
      <c r="AR2" s="144"/>
      <c r="AS2" s="144"/>
      <c r="AT2" s="144"/>
      <c r="AU2" s="144"/>
      <c r="AV2" s="11"/>
      <c r="AW2" s="10"/>
      <c r="AX2" s="146" t="s">
        <v>76</v>
      </c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8"/>
      <c r="BV2" s="6"/>
      <c r="BW2" s="6"/>
      <c r="BX2" s="6"/>
      <c r="BY2" s="6"/>
      <c r="BZ2" s="6"/>
      <c r="CA2" s="6"/>
    </row>
    <row r="3" spans="1:79" ht="150">
      <c r="A3" s="12" t="s">
        <v>77</v>
      </c>
      <c r="B3" s="13" t="s">
        <v>78</v>
      </c>
      <c r="C3" s="13" t="s">
        <v>79</v>
      </c>
      <c r="D3" s="13" t="s">
        <v>80</v>
      </c>
      <c r="E3" s="14" t="s">
        <v>81</v>
      </c>
      <c r="F3" s="14" t="s">
        <v>82</v>
      </c>
      <c r="G3" s="14" t="s">
        <v>83</v>
      </c>
      <c r="H3" s="14" t="s">
        <v>84</v>
      </c>
      <c r="I3" s="14" t="s">
        <v>85</v>
      </c>
      <c r="J3" s="14" t="s">
        <v>86</v>
      </c>
      <c r="K3" s="15" t="s">
        <v>87</v>
      </c>
      <c r="L3" s="14" t="s">
        <v>88</v>
      </c>
      <c r="M3" s="14" t="s">
        <v>89</v>
      </c>
      <c r="N3" s="66" t="s">
        <v>143</v>
      </c>
      <c r="O3" s="66" t="s">
        <v>144</v>
      </c>
      <c r="P3" s="66" t="s">
        <v>145</v>
      </c>
      <c r="Q3" s="67" t="s">
        <v>90</v>
      </c>
      <c r="R3" s="13" t="s">
        <v>91</v>
      </c>
      <c r="S3" s="13" t="s">
        <v>92</v>
      </c>
      <c r="T3" s="16" t="s">
        <v>93</v>
      </c>
      <c r="U3" s="16" t="s">
        <v>94</v>
      </c>
      <c r="V3" s="16" t="s">
        <v>95</v>
      </c>
      <c r="W3" s="17" t="s">
        <v>96</v>
      </c>
      <c r="X3" s="6"/>
      <c r="Y3" s="12" t="s">
        <v>97</v>
      </c>
      <c r="Z3" s="13" t="s">
        <v>78</v>
      </c>
      <c r="AA3" s="13" t="s">
        <v>79</v>
      </c>
      <c r="AB3" s="13" t="s">
        <v>80</v>
      </c>
      <c r="AC3" s="14" t="s">
        <v>98</v>
      </c>
      <c r="AD3" s="14" t="s">
        <v>82</v>
      </c>
      <c r="AE3" s="14" t="s">
        <v>83</v>
      </c>
      <c r="AF3" s="14" t="s">
        <v>99</v>
      </c>
      <c r="AG3" s="14" t="s">
        <v>100</v>
      </c>
      <c r="AH3" s="14" t="s">
        <v>86</v>
      </c>
      <c r="AI3" s="15" t="s">
        <v>87</v>
      </c>
      <c r="AJ3" s="14" t="s">
        <v>101</v>
      </c>
      <c r="AK3" s="14" t="s">
        <v>169</v>
      </c>
      <c r="AL3" s="14" t="s">
        <v>170</v>
      </c>
      <c r="AM3" s="14" t="s">
        <v>89</v>
      </c>
      <c r="AN3" s="66" t="s">
        <v>143</v>
      </c>
      <c r="AO3" s="66" t="s">
        <v>144</v>
      </c>
      <c r="AP3" s="66" t="s">
        <v>145</v>
      </c>
      <c r="AQ3" s="13" t="s">
        <v>102</v>
      </c>
      <c r="AR3" s="13" t="s">
        <v>92</v>
      </c>
      <c r="AS3" s="16" t="s">
        <v>93</v>
      </c>
      <c r="AT3" s="16" t="s">
        <v>94</v>
      </c>
      <c r="AU3" s="16" t="s">
        <v>95</v>
      </c>
      <c r="AV3" s="17" t="s">
        <v>96</v>
      </c>
      <c r="AW3" s="6"/>
      <c r="AX3" s="12" t="s">
        <v>97</v>
      </c>
      <c r="AY3" s="123" t="s">
        <v>78</v>
      </c>
      <c r="AZ3" s="123" t="s">
        <v>79</v>
      </c>
      <c r="BA3" s="123" t="s">
        <v>80</v>
      </c>
      <c r="BB3" s="14" t="s">
        <v>98</v>
      </c>
      <c r="BC3" s="14" t="s">
        <v>82</v>
      </c>
      <c r="BD3" s="14" t="s">
        <v>83</v>
      </c>
      <c r="BE3" s="14" t="s">
        <v>99</v>
      </c>
      <c r="BF3" s="14" t="s">
        <v>100</v>
      </c>
      <c r="BG3" s="14" t="s">
        <v>86</v>
      </c>
      <c r="BH3" s="15" t="s">
        <v>87</v>
      </c>
      <c r="BI3" s="14" t="s">
        <v>101</v>
      </c>
      <c r="BJ3" s="14" t="s">
        <v>89</v>
      </c>
      <c r="BK3" s="66" t="s">
        <v>143</v>
      </c>
      <c r="BL3" s="66" t="s">
        <v>144</v>
      </c>
      <c r="BM3" s="66" t="s">
        <v>145</v>
      </c>
      <c r="BN3" s="14" t="s">
        <v>169</v>
      </c>
      <c r="BO3" s="14" t="s">
        <v>170</v>
      </c>
      <c r="BP3" s="123" t="s">
        <v>91</v>
      </c>
      <c r="BQ3" s="123" t="s">
        <v>92</v>
      </c>
      <c r="BR3" s="16" t="s">
        <v>93</v>
      </c>
      <c r="BS3" s="16" t="s">
        <v>94</v>
      </c>
      <c r="BT3" s="16" t="s">
        <v>95</v>
      </c>
      <c r="BU3" s="17" t="s">
        <v>96</v>
      </c>
      <c r="BV3" s="6"/>
      <c r="BW3" s="6"/>
      <c r="BX3" s="6"/>
      <c r="BY3" s="6"/>
      <c r="BZ3" s="6"/>
      <c r="CA3" s="6"/>
    </row>
    <row r="4" spans="1:79" ht="72" customHeight="1">
      <c r="A4" s="12" t="s">
        <v>103</v>
      </c>
      <c r="B4" s="13" t="s">
        <v>104</v>
      </c>
      <c r="C4" s="13">
        <v>60</v>
      </c>
      <c r="D4" s="13">
        <v>120</v>
      </c>
      <c r="E4" s="18">
        <v>10</v>
      </c>
      <c r="F4" s="18">
        <v>40</v>
      </c>
      <c r="G4" s="18">
        <v>96</v>
      </c>
      <c r="H4" s="18">
        <v>4</v>
      </c>
      <c r="I4" s="18">
        <v>4</v>
      </c>
      <c r="J4" s="18">
        <v>7</v>
      </c>
      <c r="K4" s="18">
        <f>J4-I4</f>
        <v>3</v>
      </c>
      <c r="L4" s="18">
        <v>1.5</v>
      </c>
      <c r="M4" s="18">
        <v>25</v>
      </c>
      <c r="N4" s="18">
        <v>0.1</v>
      </c>
      <c r="O4" s="18">
        <v>0.1</v>
      </c>
      <c r="P4" s="18">
        <v>0.2</v>
      </c>
      <c r="Q4" s="18">
        <v>1</v>
      </c>
      <c r="R4" s="13">
        <v>20</v>
      </c>
      <c r="S4" s="13">
        <v>10</v>
      </c>
      <c r="T4" s="13">
        <v>35</v>
      </c>
      <c r="U4" s="13" t="s">
        <v>106</v>
      </c>
      <c r="V4" s="13" t="s">
        <v>107</v>
      </c>
      <c r="W4" s="19" t="s">
        <v>108</v>
      </c>
      <c r="X4" s="20"/>
      <c r="Y4" s="12" t="s">
        <v>109</v>
      </c>
      <c r="Z4" s="13" t="s">
        <v>104</v>
      </c>
      <c r="AA4" s="13">
        <v>60</v>
      </c>
      <c r="AB4" s="13">
        <v>192</v>
      </c>
      <c r="AC4" s="18">
        <v>15</v>
      </c>
      <c r="AD4" s="21">
        <v>60</v>
      </c>
      <c r="AE4" s="21">
        <v>120</v>
      </c>
      <c r="AF4" s="18">
        <v>4</v>
      </c>
      <c r="AG4" s="18">
        <v>4</v>
      </c>
      <c r="AH4" s="18">
        <v>13</v>
      </c>
      <c r="AI4" s="18">
        <f>AH4-AG4</f>
        <v>9</v>
      </c>
      <c r="AJ4" s="18">
        <v>1.5</v>
      </c>
      <c r="AK4" s="22">
        <v>1</v>
      </c>
      <c r="AL4" s="22">
        <v>1</v>
      </c>
      <c r="AM4" s="18">
        <v>25</v>
      </c>
      <c r="AN4" s="18">
        <v>0.1</v>
      </c>
      <c r="AO4" s="18">
        <v>0.1</v>
      </c>
      <c r="AP4" s="18">
        <v>0.2</v>
      </c>
      <c r="AQ4" s="13">
        <v>20</v>
      </c>
      <c r="AR4" s="13">
        <v>10</v>
      </c>
      <c r="AS4" s="13">
        <v>17.5</v>
      </c>
      <c r="AT4" s="13" t="s">
        <v>106</v>
      </c>
      <c r="AU4" s="13" t="s">
        <v>107</v>
      </c>
      <c r="AV4" s="19" t="s">
        <v>108</v>
      </c>
      <c r="AW4" s="6"/>
      <c r="AX4" s="12" t="s">
        <v>110</v>
      </c>
      <c r="AY4" s="123" t="s">
        <v>104</v>
      </c>
      <c r="AZ4" s="123">
        <v>96</v>
      </c>
      <c r="BA4" s="123">
        <v>228</v>
      </c>
      <c r="BB4" s="18">
        <v>25</v>
      </c>
      <c r="BC4" s="18">
        <v>120</v>
      </c>
      <c r="BD4" s="18">
        <v>180</v>
      </c>
      <c r="BE4" s="18">
        <v>10</v>
      </c>
      <c r="BF4" s="18">
        <v>10</v>
      </c>
      <c r="BG4" s="18">
        <v>18</v>
      </c>
      <c r="BH4" s="18">
        <f>BG4-BF4</f>
        <v>8</v>
      </c>
      <c r="BI4" s="18">
        <v>1.5</v>
      </c>
      <c r="BJ4" s="18">
        <v>30</v>
      </c>
      <c r="BK4" s="18">
        <v>0.1</v>
      </c>
      <c r="BL4" s="18">
        <v>0.1</v>
      </c>
      <c r="BM4" s="18">
        <v>0.2</v>
      </c>
      <c r="BN4" s="22">
        <v>1</v>
      </c>
      <c r="BO4" s="22">
        <v>0.5</v>
      </c>
      <c r="BP4" s="123">
        <v>25</v>
      </c>
      <c r="BQ4" s="23">
        <v>12</v>
      </c>
      <c r="BR4" s="123">
        <v>17.5</v>
      </c>
      <c r="BS4" s="123" t="s">
        <v>106</v>
      </c>
      <c r="BT4" s="123" t="s">
        <v>107</v>
      </c>
      <c r="BU4" s="19" t="s">
        <v>108</v>
      </c>
      <c r="BV4" s="6"/>
      <c r="BW4" s="6"/>
      <c r="BX4" s="6"/>
      <c r="BY4" s="6"/>
      <c r="BZ4" s="6"/>
      <c r="CA4" s="6"/>
    </row>
    <row r="5" spans="1:79" ht="89.25" customHeight="1">
      <c r="A5" s="12" t="s">
        <v>103</v>
      </c>
      <c r="B5" s="13" t="s">
        <v>104</v>
      </c>
      <c r="C5" s="13">
        <v>60</v>
      </c>
      <c r="D5" s="13">
        <v>120</v>
      </c>
      <c r="E5" s="18">
        <v>9</v>
      </c>
      <c r="F5" s="18">
        <v>40</v>
      </c>
      <c r="G5" s="18">
        <v>96</v>
      </c>
      <c r="H5" s="18">
        <v>5</v>
      </c>
      <c r="I5" s="18">
        <v>5</v>
      </c>
      <c r="J5" s="18">
        <v>7</v>
      </c>
      <c r="K5" s="18">
        <f t="shared" ref="K5:K10" si="0">J5-I5</f>
        <v>2</v>
      </c>
      <c r="L5" s="18">
        <v>1.5</v>
      </c>
      <c r="M5" s="18">
        <v>25</v>
      </c>
      <c r="N5" s="18">
        <v>0.1</v>
      </c>
      <c r="O5" s="18">
        <v>0.1</v>
      </c>
      <c r="P5" s="18">
        <v>0.2</v>
      </c>
      <c r="Q5" s="18">
        <v>1</v>
      </c>
      <c r="R5" s="13">
        <v>20</v>
      </c>
      <c r="S5" s="13">
        <v>10</v>
      </c>
      <c r="T5" s="13">
        <v>35</v>
      </c>
      <c r="U5" s="13" t="s">
        <v>106</v>
      </c>
      <c r="V5" s="13" t="s">
        <v>107</v>
      </c>
      <c r="W5" s="19" t="s">
        <v>108</v>
      </c>
      <c r="X5" s="24"/>
      <c r="Y5" s="12" t="s">
        <v>109</v>
      </c>
      <c r="Z5" s="13" t="s">
        <v>104</v>
      </c>
      <c r="AA5" s="13">
        <v>60</v>
      </c>
      <c r="AB5" s="13">
        <v>192</v>
      </c>
      <c r="AC5" s="18">
        <v>14</v>
      </c>
      <c r="AD5" s="18">
        <v>121</v>
      </c>
      <c r="AE5" s="13">
        <v>180</v>
      </c>
      <c r="AF5" s="18">
        <v>5</v>
      </c>
      <c r="AG5" s="18">
        <v>5</v>
      </c>
      <c r="AH5" s="18">
        <v>13</v>
      </c>
      <c r="AI5" s="18">
        <f>AH5-AG5</f>
        <v>8</v>
      </c>
      <c r="AJ5" s="18">
        <v>1.5</v>
      </c>
      <c r="AK5" s="22">
        <v>1.5</v>
      </c>
      <c r="AL5" s="22">
        <v>1.5</v>
      </c>
      <c r="AM5" s="18">
        <v>30</v>
      </c>
      <c r="AN5" s="18">
        <v>0.1</v>
      </c>
      <c r="AO5" s="18">
        <v>0.1</v>
      </c>
      <c r="AP5" s="18">
        <v>0.2</v>
      </c>
      <c r="AQ5" s="13">
        <v>25</v>
      </c>
      <c r="AR5" s="23">
        <v>12</v>
      </c>
      <c r="AS5" s="13">
        <v>17.5</v>
      </c>
      <c r="AT5" s="13" t="s">
        <v>106</v>
      </c>
      <c r="AU5" s="13" t="s">
        <v>107</v>
      </c>
      <c r="AV5" s="19" t="s">
        <v>108</v>
      </c>
      <c r="AW5" s="10"/>
      <c r="AX5" s="12" t="s">
        <v>110</v>
      </c>
      <c r="AY5" s="123" t="s">
        <v>104</v>
      </c>
      <c r="AZ5" s="123">
        <v>96</v>
      </c>
      <c r="BA5" s="123">
        <v>228</v>
      </c>
      <c r="BB5" s="18">
        <v>24</v>
      </c>
      <c r="BC5" s="18">
        <v>180</v>
      </c>
      <c r="BD5" s="18">
        <v>240</v>
      </c>
      <c r="BE5" s="18">
        <v>11</v>
      </c>
      <c r="BF5" s="18">
        <v>11</v>
      </c>
      <c r="BG5" s="18">
        <v>18</v>
      </c>
      <c r="BH5" s="18">
        <f t="shared" ref="BH5:BH17" si="1">BG5-BF5</f>
        <v>7</v>
      </c>
      <c r="BI5" s="18">
        <v>1.5</v>
      </c>
      <c r="BJ5" s="18">
        <v>35</v>
      </c>
      <c r="BK5" s="18">
        <v>0.1</v>
      </c>
      <c r="BL5" s="18">
        <v>0.1</v>
      </c>
      <c r="BM5" s="18">
        <v>0.2</v>
      </c>
      <c r="BN5" s="22">
        <v>1</v>
      </c>
      <c r="BO5" s="22">
        <v>0.5</v>
      </c>
      <c r="BP5" s="123">
        <v>30</v>
      </c>
      <c r="BQ5" s="23">
        <v>15</v>
      </c>
      <c r="BR5" s="123">
        <v>17.5</v>
      </c>
      <c r="BS5" s="123" t="s">
        <v>106</v>
      </c>
      <c r="BT5" s="123" t="s">
        <v>107</v>
      </c>
      <c r="BU5" s="19" t="s">
        <v>108</v>
      </c>
      <c r="BV5" s="6"/>
      <c r="BW5" s="6"/>
      <c r="BX5" s="6"/>
      <c r="BY5" s="6"/>
      <c r="BZ5" s="6"/>
      <c r="CA5" s="6"/>
    </row>
    <row r="6" spans="1:79" ht="180">
      <c r="A6" s="12" t="s">
        <v>103</v>
      </c>
      <c r="B6" s="13" t="s">
        <v>104</v>
      </c>
      <c r="C6" s="13">
        <v>60</v>
      </c>
      <c r="D6" s="13">
        <v>120</v>
      </c>
      <c r="E6" s="18">
        <v>8</v>
      </c>
      <c r="F6" s="18">
        <v>40</v>
      </c>
      <c r="G6" s="18">
        <v>96</v>
      </c>
      <c r="H6" s="18">
        <v>6</v>
      </c>
      <c r="I6" s="18">
        <v>6</v>
      </c>
      <c r="J6" s="18">
        <v>7</v>
      </c>
      <c r="K6" s="18">
        <f t="shared" si="0"/>
        <v>1</v>
      </c>
      <c r="L6" s="18">
        <v>1.5</v>
      </c>
      <c r="M6" s="18">
        <v>25</v>
      </c>
      <c r="N6" s="18">
        <v>0.1</v>
      </c>
      <c r="O6" s="18">
        <v>0.1</v>
      </c>
      <c r="P6" s="18">
        <v>0.2</v>
      </c>
      <c r="Q6" s="18">
        <v>1</v>
      </c>
      <c r="R6" s="13">
        <v>20</v>
      </c>
      <c r="S6" s="13">
        <v>10</v>
      </c>
      <c r="T6" s="13">
        <v>35</v>
      </c>
      <c r="U6" s="13" t="s">
        <v>106</v>
      </c>
      <c r="V6" s="13" t="s">
        <v>107</v>
      </c>
      <c r="W6" s="19" t="s">
        <v>108</v>
      </c>
      <c r="X6" s="24"/>
      <c r="Y6" s="12" t="s">
        <v>109</v>
      </c>
      <c r="Z6" s="13" t="s">
        <v>104</v>
      </c>
      <c r="AA6" s="13">
        <v>60</v>
      </c>
      <c r="AB6" s="13">
        <v>192</v>
      </c>
      <c r="AC6" s="18">
        <v>13</v>
      </c>
      <c r="AD6" s="18">
        <v>181</v>
      </c>
      <c r="AE6" s="13">
        <v>240</v>
      </c>
      <c r="AF6" s="18">
        <v>6</v>
      </c>
      <c r="AG6" s="18">
        <v>6</v>
      </c>
      <c r="AH6" s="18">
        <v>13</v>
      </c>
      <c r="AI6" s="18">
        <f t="shared" ref="AI6:AI13" si="2">AH6-AG6</f>
        <v>7</v>
      </c>
      <c r="AJ6" s="18">
        <v>2</v>
      </c>
      <c r="AK6" s="22">
        <v>1.5</v>
      </c>
      <c r="AL6" s="22">
        <v>1.5</v>
      </c>
      <c r="AM6" s="18">
        <v>40</v>
      </c>
      <c r="AN6" s="18">
        <v>0.1</v>
      </c>
      <c r="AO6" s="18">
        <v>0.1</v>
      </c>
      <c r="AP6" s="18">
        <v>0.2</v>
      </c>
      <c r="AQ6" s="13">
        <v>30</v>
      </c>
      <c r="AR6" s="23">
        <v>15</v>
      </c>
      <c r="AS6" s="13">
        <v>17.5</v>
      </c>
      <c r="AT6" s="13" t="s">
        <v>106</v>
      </c>
      <c r="AU6" s="13" t="s">
        <v>107</v>
      </c>
      <c r="AV6" s="19" t="s">
        <v>108</v>
      </c>
      <c r="AW6" s="10"/>
      <c r="AX6" s="12" t="s">
        <v>110</v>
      </c>
      <c r="AY6" s="123" t="s">
        <v>104</v>
      </c>
      <c r="AZ6" s="123">
        <v>96</v>
      </c>
      <c r="BA6" s="123">
        <v>228</v>
      </c>
      <c r="BB6" s="18">
        <v>23</v>
      </c>
      <c r="BC6" s="18">
        <v>241</v>
      </c>
      <c r="BD6" s="18">
        <v>300</v>
      </c>
      <c r="BE6" s="18">
        <v>12</v>
      </c>
      <c r="BF6" s="18">
        <v>12</v>
      </c>
      <c r="BG6" s="18">
        <v>18</v>
      </c>
      <c r="BH6" s="18">
        <f t="shared" si="1"/>
        <v>6</v>
      </c>
      <c r="BI6" s="18">
        <v>2</v>
      </c>
      <c r="BJ6" s="18">
        <v>40</v>
      </c>
      <c r="BK6" s="18">
        <v>0.1</v>
      </c>
      <c r="BL6" s="18">
        <v>0.1</v>
      </c>
      <c r="BM6" s="18">
        <v>0.2</v>
      </c>
      <c r="BN6" s="22">
        <v>1</v>
      </c>
      <c r="BO6" s="22">
        <v>1</v>
      </c>
      <c r="BP6" s="123">
        <v>36</v>
      </c>
      <c r="BQ6" s="23">
        <v>18</v>
      </c>
      <c r="BR6" s="123">
        <v>17.5</v>
      </c>
      <c r="BS6" s="123" t="s">
        <v>106</v>
      </c>
      <c r="BT6" s="123" t="s">
        <v>107</v>
      </c>
      <c r="BU6" s="19" t="s">
        <v>108</v>
      </c>
      <c r="BV6" s="6"/>
      <c r="BW6" s="6"/>
      <c r="BX6" s="6"/>
      <c r="BY6" s="6"/>
      <c r="BZ6" s="6"/>
      <c r="CA6" s="6"/>
    </row>
    <row r="7" spans="1:79" ht="180">
      <c r="A7" s="12" t="s">
        <v>103</v>
      </c>
      <c r="B7" s="13" t="s">
        <v>104</v>
      </c>
      <c r="C7" s="13">
        <v>60</v>
      </c>
      <c r="D7" s="13">
        <v>120</v>
      </c>
      <c r="E7" s="18">
        <v>7</v>
      </c>
      <c r="F7" s="18">
        <v>40</v>
      </c>
      <c r="G7" s="18">
        <v>96</v>
      </c>
      <c r="H7" s="18">
        <v>7</v>
      </c>
      <c r="I7" s="18">
        <v>7</v>
      </c>
      <c r="J7" s="18">
        <v>7</v>
      </c>
      <c r="K7" s="18">
        <f t="shared" si="0"/>
        <v>0</v>
      </c>
      <c r="L7" s="18">
        <v>1.5</v>
      </c>
      <c r="M7" s="18">
        <v>25</v>
      </c>
      <c r="N7" s="18">
        <v>0.1</v>
      </c>
      <c r="O7" s="18">
        <v>0.1</v>
      </c>
      <c r="P7" s="18">
        <v>0.2</v>
      </c>
      <c r="Q7" s="18">
        <v>1</v>
      </c>
      <c r="R7" s="13">
        <v>20</v>
      </c>
      <c r="S7" s="13">
        <v>10</v>
      </c>
      <c r="T7" s="13">
        <v>35</v>
      </c>
      <c r="U7" s="13" t="s">
        <v>106</v>
      </c>
      <c r="V7" s="13" t="s">
        <v>107</v>
      </c>
      <c r="W7" s="19" t="s">
        <v>108</v>
      </c>
      <c r="X7" s="24"/>
      <c r="Y7" s="12" t="s">
        <v>109</v>
      </c>
      <c r="Z7" s="13" t="s">
        <v>104</v>
      </c>
      <c r="AA7" s="13">
        <v>60</v>
      </c>
      <c r="AB7" s="13">
        <v>192</v>
      </c>
      <c r="AC7" s="18">
        <v>12</v>
      </c>
      <c r="AD7" s="25">
        <v>241</v>
      </c>
      <c r="AE7" s="26">
        <v>300</v>
      </c>
      <c r="AF7" s="18">
        <v>7</v>
      </c>
      <c r="AG7" s="18">
        <v>7</v>
      </c>
      <c r="AH7" s="18">
        <v>13</v>
      </c>
      <c r="AI7" s="18">
        <f t="shared" si="2"/>
        <v>6</v>
      </c>
      <c r="AJ7" s="18">
        <v>2</v>
      </c>
      <c r="AK7" s="22">
        <v>1.5</v>
      </c>
      <c r="AL7" s="22">
        <v>1.5</v>
      </c>
      <c r="AM7" s="18">
        <v>40</v>
      </c>
      <c r="AN7" s="18">
        <v>0.1</v>
      </c>
      <c r="AO7" s="18">
        <v>0.1</v>
      </c>
      <c r="AP7" s="18">
        <v>0.2</v>
      </c>
      <c r="AQ7" s="13">
        <v>30</v>
      </c>
      <c r="AR7" s="23">
        <v>15</v>
      </c>
      <c r="AS7" s="13">
        <v>17.5</v>
      </c>
      <c r="AT7" s="13" t="s">
        <v>106</v>
      </c>
      <c r="AU7" s="13" t="s">
        <v>107</v>
      </c>
      <c r="AV7" s="19" t="s">
        <v>108</v>
      </c>
      <c r="AW7" s="10"/>
      <c r="AX7" s="12" t="s">
        <v>110</v>
      </c>
      <c r="AY7" s="123" t="s">
        <v>104</v>
      </c>
      <c r="AZ7" s="123">
        <v>96</v>
      </c>
      <c r="BA7" s="123">
        <v>228</v>
      </c>
      <c r="BB7" s="18">
        <v>22</v>
      </c>
      <c r="BC7" s="18">
        <v>241</v>
      </c>
      <c r="BD7" s="18">
        <v>300</v>
      </c>
      <c r="BE7" s="18">
        <v>13</v>
      </c>
      <c r="BF7" s="18">
        <v>13</v>
      </c>
      <c r="BG7" s="18">
        <v>18</v>
      </c>
      <c r="BH7" s="18">
        <f t="shared" si="1"/>
        <v>5</v>
      </c>
      <c r="BI7" s="18">
        <v>2</v>
      </c>
      <c r="BJ7" s="18">
        <v>40</v>
      </c>
      <c r="BK7" s="18">
        <v>0.1</v>
      </c>
      <c r="BL7" s="18">
        <v>0.1</v>
      </c>
      <c r="BM7" s="18">
        <v>0.2</v>
      </c>
      <c r="BN7" s="22">
        <v>1</v>
      </c>
      <c r="BO7" s="22">
        <v>1</v>
      </c>
      <c r="BP7" s="123">
        <v>36</v>
      </c>
      <c r="BQ7" s="23">
        <v>18</v>
      </c>
      <c r="BR7" s="123">
        <v>17.5</v>
      </c>
      <c r="BS7" s="123" t="s">
        <v>106</v>
      </c>
      <c r="BT7" s="123" t="s">
        <v>107</v>
      </c>
      <c r="BU7" s="19" t="s">
        <v>108</v>
      </c>
      <c r="BV7" s="6"/>
      <c r="BW7" s="6"/>
      <c r="BX7" s="6"/>
      <c r="BY7" s="6"/>
      <c r="BZ7" s="6"/>
      <c r="CA7" s="6"/>
    </row>
    <row r="8" spans="1:79" ht="180">
      <c r="A8" s="12" t="s">
        <v>103</v>
      </c>
      <c r="B8" s="13" t="s">
        <v>104</v>
      </c>
      <c r="C8" s="13">
        <v>60</v>
      </c>
      <c r="D8" s="13">
        <v>120</v>
      </c>
      <c r="E8" s="18">
        <v>6</v>
      </c>
      <c r="F8" s="18">
        <v>40</v>
      </c>
      <c r="G8" s="18">
        <v>96</v>
      </c>
      <c r="H8" s="18">
        <v>7</v>
      </c>
      <c r="I8" s="18">
        <v>7</v>
      </c>
      <c r="J8" s="18">
        <v>7</v>
      </c>
      <c r="K8" s="18">
        <f t="shared" si="0"/>
        <v>0</v>
      </c>
      <c r="L8" s="18">
        <v>1.5</v>
      </c>
      <c r="M8" s="18">
        <v>25</v>
      </c>
      <c r="N8" s="18">
        <v>0.1</v>
      </c>
      <c r="O8" s="18">
        <v>0.1</v>
      </c>
      <c r="P8" s="18">
        <v>0.2</v>
      </c>
      <c r="Q8" s="18">
        <v>1</v>
      </c>
      <c r="R8" s="13">
        <v>20</v>
      </c>
      <c r="S8" s="13">
        <v>10</v>
      </c>
      <c r="T8" s="13">
        <v>35</v>
      </c>
      <c r="U8" s="13" t="s">
        <v>106</v>
      </c>
      <c r="V8" s="13" t="s">
        <v>107</v>
      </c>
      <c r="W8" s="19" t="s">
        <v>108</v>
      </c>
      <c r="X8" s="24"/>
      <c r="Y8" s="12" t="s">
        <v>109</v>
      </c>
      <c r="Z8" s="13" t="s">
        <v>104</v>
      </c>
      <c r="AA8" s="13">
        <v>60</v>
      </c>
      <c r="AB8" s="13">
        <v>192</v>
      </c>
      <c r="AC8" s="18">
        <v>11</v>
      </c>
      <c r="AD8" s="25">
        <v>241</v>
      </c>
      <c r="AE8" s="26">
        <v>300</v>
      </c>
      <c r="AF8" s="18">
        <v>8</v>
      </c>
      <c r="AG8" s="18">
        <v>8</v>
      </c>
      <c r="AH8" s="18">
        <v>13</v>
      </c>
      <c r="AI8" s="18">
        <f t="shared" si="2"/>
        <v>5</v>
      </c>
      <c r="AJ8" s="18">
        <v>2</v>
      </c>
      <c r="AK8" s="22">
        <v>1.5</v>
      </c>
      <c r="AL8" s="22">
        <v>1.5</v>
      </c>
      <c r="AM8" s="18">
        <v>40</v>
      </c>
      <c r="AN8" s="18">
        <v>0.1</v>
      </c>
      <c r="AO8" s="18">
        <v>0.1</v>
      </c>
      <c r="AP8" s="18">
        <v>0.2</v>
      </c>
      <c r="AQ8" s="13">
        <v>30</v>
      </c>
      <c r="AR8" s="23">
        <v>15</v>
      </c>
      <c r="AS8" s="13">
        <v>17.5</v>
      </c>
      <c r="AT8" s="13" t="s">
        <v>106</v>
      </c>
      <c r="AU8" s="13" t="s">
        <v>107</v>
      </c>
      <c r="AV8" s="19" t="s">
        <v>108</v>
      </c>
      <c r="AW8" s="10"/>
      <c r="AX8" s="12" t="s">
        <v>110</v>
      </c>
      <c r="AY8" s="123" t="s">
        <v>104</v>
      </c>
      <c r="AZ8" s="123">
        <v>96</v>
      </c>
      <c r="BA8" s="123">
        <v>228</v>
      </c>
      <c r="BB8" s="18">
        <v>21</v>
      </c>
      <c r="BC8" s="18">
        <v>241</v>
      </c>
      <c r="BD8" s="18">
        <v>300</v>
      </c>
      <c r="BE8" s="18">
        <v>14</v>
      </c>
      <c r="BF8" s="18">
        <v>14</v>
      </c>
      <c r="BG8" s="18">
        <v>18</v>
      </c>
      <c r="BH8" s="18">
        <f t="shared" si="1"/>
        <v>4</v>
      </c>
      <c r="BI8" s="18">
        <v>2</v>
      </c>
      <c r="BJ8" s="18">
        <v>40</v>
      </c>
      <c r="BK8" s="18">
        <v>0.1</v>
      </c>
      <c r="BL8" s="18">
        <v>0.1</v>
      </c>
      <c r="BM8" s="18">
        <v>0.2</v>
      </c>
      <c r="BN8" s="22">
        <v>1</v>
      </c>
      <c r="BO8" s="22">
        <v>1</v>
      </c>
      <c r="BP8" s="123">
        <v>36</v>
      </c>
      <c r="BQ8" s="23">
        <v>18</v>
      </c>
      <c r="BR8" s="123">
        <v>17.5</v>
      </c>
      <c r="BS8" s="123" t="s">
        <v>106</v>
      </c>
      <c r="BT8" s="123" t="s">
        <v>107</v>
      </c>
      <c r="BU8" s="19" t="s">
        <v>108</v>
      </c>
      <c r="BV8" s="6"/>
      <c r="BW8" s="6"/>
      <c r="BX8" s="6"/>
      <c r="BY8" s="6"/>
      <c r="BZ8" s="6"/>
      <c r="CA8" s="6"/>
    </row>
    <row r="9" spans="1:79" ht="180">
      <c r="A9" s="12" t="s">
        <v>103</v>
      </c>
      <c r="B9" s="13" t="s">
        <v>104</v>
      </c>
      <c r="C9" s="13">
        <v>60</v>
      </c>
      <c r="D9" s="13">
        <v>120</v>
      </c>
      <c r="E9" s="18">
        <v>5</v>
      </c>
      <c r="F9" s="18">
        <v>40</v>
      </c>
      <c r="G9" s="18">
        <v>96</v>
      </c>
      <c r="H9" s="18">
        <v>7</v>
      </c>
      <c r="I9" s="18">
        <v>7</v>
      </c>
      <c r="J9" s="18">
        <v>7</v>
      </c>
      <c r="K9" s="18">
        <f t="shared" si="0"/>
        <v>0</v>
      </c>
      <c r="L9" s="18">
        <v>1.5</v>
      </c>
      <c r="M9" s="18">
        <v>25</v>
      </c>
      <c r="N9" s="18">
        <v>0.1</v>
      </c>
      <c r="O9" s="18">
        <v>0.1</v>
      </c>
      <c r="P9" s="18">
        <v>0.2</v>
      </c>
      <c r="Q9" s="18">
        <v>1</v>
      </c>
      <c r="R9" s="13">
        <v>20</v>
      </c>
      <c r="S9" s="13">
        <v>10</v>
      </c>
      <c r="T9" s="13">
        <v>35</v>
      </c>
      <c r="U9" s="13" t="s">
        <v>106</v>
      </c>
      <c r="V9" s="13" t="s">
        <v>107</v>
      </c>
      <c r="W9" s="19" t="s">
        <v>108</v>
      </c>
      <c r="X9" s="24"/>
      <c r="Y9" s="12" t="s">
        <v>109</v>
      </c>
      <c r="Z9" s="13" t="s">
        <v>104</v>
      </c>
      <c r="AA9" s="13">
        <v>60</v>
      </c>
      <c r="AB9" s="13">
        <v>192</v>
      </c>
      <c r="AC9" s="18">
        <v>10</v>
      </c>
      <c r="AD9" s="25">
        <v>241</v>
      </c>
      <c r="AE9" s="26">
        <v>300</v>
      </c>
      <c r="AF9" s="18">
        <v>9</v>
      </c>
      <c r="AG9" s="18">
        <v>9</v>
      </c>
      <c r="AH9" s="18">
        <v>13</v>
      </c>
      <c r="AI9" s="18">
        <f t="shared" si="2"/>
        <v>4</v>
      </c>
      <c r="AJ9" s="18">
        <v>2</v>
      </c>
      <c r="AK9" s="22">
        <v>1.5</v>
      </c>
      <c r="AL9" s="22">
        <v>1.5</v>
      </c>
      <c r="AM9" s="18">
        <v>40</v>
      </c>
      <c r="AN9" s="18">
        <v>0.1</v>
      </c>
      <c r="AO9" s="18">
        <v>0.1</v>
      </c>
      <c r="AP9" s="18">
        <v>0.2</v>
      </c>
      <c r="AQ9" s="13">
        <v>30</v>
      </c>
      <c r="AR9" s="23">
        <v>15</v>
      </c>
      <c r="AS9" s="13">
        <v>17.5</v>
      </c>
      <c r="AT9" s="13" t="s">
        <v>106</v>
      </c>
      <c r="AU9" s="13" t="s">
        <v>107</v>
      </c>
      <c r="AV9" s="19" t="s">
        <v>108</v>
      </c>
      <c r="AW9" s="10"/>
      <c r="AX9" s="12" t="s">
        <v>110</v>
      </c>
      <c r="AY9" s="123" t="s">
        <v>104</v>
      </c>
      <c r="AZ9" s="123">
        <v>96</v>
      </c>
      <c r="BA9" s="123">
        <v>228</v>
      </c>
      <c r="BB9" s="18">
        <v>20</v>
      </c>
      <c r="BC9" s="18">
        <v>241</v>
      </c>
      <c r="BD9" s="18">
        <v>300</v>
      </c>
      <c r="BE9" s="18">
        <v>15</v>
      </c>
      <c r="BF9" s="18">
        <v>15</v>
      </c>
      <c r="BG9" s="18">
        <v>18</v>
      </c>
      <c r="BH9" s="18">
        <f t="shared" si="1"/>
        <v>3</v>
      </c>
      <c r="BI9" s="18">
        <v>2</v>
      </c>
      <c r="BJ9" s="18">
        <v>40</v>
      </c>
      <c r="BK9" s="18">
        <v>0.1</v>
      </c>
      <c r="BL9" s="18">
        <v>0.1</v>
      </c>
      <c r="BM9" s="18">
        <v>0.2</v>
      </c>
      <c r="BN9" s="22">
        <v>1</v>
      </c>
      <c r="BO9" s="22">
        <v>1</v>
      </c>
      <c r="BP9" s="123">
        <v>36</v>
      </c>
      <c r="BQ9" s="23">
        <v>18</v>
      </c>
      <c r="BR9" s="123">
        <v>17.5</v>
      </c>
      <c r="BS9" s="123" t="s">
        <v>106</v>
      </c>
      <c r="BT9" s="123" t="s">
        <v>107</v>
      </c>
      <c r="BU9" s="19" t="s">
        <v>108</v>
      </c>
      <c r="BV9" s="6"/>
      <c r="BW9" s="6"/>
      <c r="BX9" s="6"/>
      <c r="BY9" s="6"/>
      <c r="BZ9" s="6"/>
      <c r="CA9" s="6"/>
    </row>
    <row r="10" spans="1:79" ht="180.75" thickBot="1">
      <c r="A10" s="27" t="s">
        <v>103</v>
      </c>
      <c r="B10" s="28" t="s">
        <v>104</v>
      </c>
      <c r="C10" s="28">
        <v>60</v>
      </c>
      <c r="D10" s="28">
        <v>120</v>
      </c>
      <c r="E10" s="29">
        <v>4</v>
      </c>
      <c r="F10" s="29">
        <v>40</v>
      </c>
      <c r="G10" s="29">
        <v>96</v>
      </c>
      <c r="H10" s="29">
        <v>7</v>
      </c>
      <c r="I10" s="29">
        <v>7</v>
      </c>
      <c r="J10" s="29">
        <v>7</v>
      </c>
      <c r="K10" s="29">
        <f t="shared" si="0"/>
        <v>0</v>
      </c>
      <c r="L10" s="29">
        <v>1.5</v>
      </c>
      <c r="M10" s="18">
        <v>25</v>
      </c>
      <c r="N10" s="18">
        <v>0.1</v>
      </c>
      <c r="O10" s="18">
        <v>0.1</v>
      </c>
      <c r="P10" s="18">
        <v>0.2</v>
      </c>
      <c r="Q10" s="29">
        <v>1</v>
      </c>
      <c r="R10" s="28">
        <v>20</v>
      </c>
      <c r="S10" s="28">
        <v>10</v>
      </c>
      <c r="T10" s="28">
        <v>35</v>
      </c>
      <c r="U10" s="28" t="s">
        <v>106</v>
      </c>
      <c r="V10" s="28" t="s">
        <v>107</v>
      </c>
      <c r="W10" s="30" t="s">
        <v>108</v>
      </c>
      <c r="X10" s="24"/>
      <c r="Y10" s="12" t="s">
        <v>109</v>
      </c>
      <c r="Z10" s="13" t="s">
        <v>104</v>
      </c>
      <c r="AA10" s="13">
        <v>60</v>
      </c>
      <c r="AB10" s="13">
        <v>192</v>
      </c>
      <c r="AC10" s="18">
        <v>9</v>
      </c>
      <c r="AD10" s="25">
        <v>241</v>
      </c>
      <c r="AE10" s="26">
        <v>300</v>
      </c>
      <c r="AF10" s="18">
        <v>10</v>
      </c>
      <c r="AG10" s="18">
        <v>10</v>
      </c>
      <c r="AH10" s="18">
        <v>13</v>
      </c>
      <c r="AI10" s="18">
        <f t="shared" si="2"/>
        <v>3</v>
      </c>
      <c r="AJ10" s="18">
        <v>2</v>
      </c>
      <c r="AK10" s="22">
        <v>1.5</v>
      </c>
      <c r="AL10" s="22">
        <v>1.5</v>
      </c>
      <c r="AM10" s="18">
        <v>40</v>
      </c>
      <c r="AN10" s="18">
        <v>0.1</v>
      </c>
      <c r="AO10" s="18">
        <v>0.1</v>
      </c>
      <c r="AP10" s="18">
        <v>0.2</v>
      </c>
      <c r="AQ10" s="13">
        <v>30</v>
      </c>
      <c r="AR10" s="23">
        <v>15</v>
      </c>
      <c r="AS10" s="13">
        <v>17.5</v>
      </c>
      <c r="AT10" s="13" t="s">
        <v>106</v>
      </c>
      <c r="AU10" s="13" t="s">
        <v>107</v>
      </c>
      <c r="AV10" s="19" t="s">
        <v>108</v>
      </c>
      <c r="AW10" s="10"/>
      <c r="AX10" s="12" t="s">
        <v>110</v>
      </c>
      <c r="AY10" s="123" t="s">
        <v>104</v>
      </c>
      <c r="AZ10" s="123">
        <v>96</v>
      </c>
      <c r="BA10" s="123">
        <v>228</v>
      </c>
      <c r="BB10" s="18">
        <v>19</v>
      </c>
      <c r="BC10" s="18">
        <v>241</v>
      </c>
      <c r="BD10" s="18">
        <v>300</v>
      </c>
      <c r="BE10" s="18">
        <v>16</v>
      </c>
      <c r="BF10" s="18">
        <v>16</v>
      </c>
      <c r="BG10" s="18">
        <v>18</v>
      </c>
      <c r="BH10" s="18">
        <f t="shared" si="1"/>
        <v>2</v>
      </c>
      <c r="BI10" s="18">
        <v>2</v>
      </c>
      <c r="BJ10" s="18">
        <v>40</v>
      </c>
      <c r="BK10" s="18">
        <v>0.1</v>
      </c>
      <c r="BL10" s="18">
        <v>0.1</v>
      </c>
      <c r="BM10" s="18">
        <v>0.2</v>
      </c>
      <c r="BN10" s="22">
        <v>1</v>
      </c>
      <c r="BO10" s="22">
        <v>1</v>
      </c>
      <c r="BP10" s="123">
        <v>36</v>
      </c>
      <c r="BQ10" s="23">
        <v>18</v>
      </c>
      <c r="BR10" s="123">
        <v>17.5</v>
      </c>
      <c r="BS10" s="123" t="s">
        <v>106</v>
      </c>
      <c r="BT10" s="123" t="s">
        <v>107</v>
      </c>
      <c r="BU10" s="19" t="s">
        <v>108</v>
      </c>
      <c r="BV10" s="6"/>
      <c r="BW10" s="6"/>
      <c r="BX10" s="6"/>
      <c r="BY10" s="6"/>
      <c r="BZ10" s="6"/>
      <c r="CA10" s="6"/>
    </row>
    <row r="11" spans="1:79" ht="180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18">
        <v>0.1</v>
      </c>
      <c r="O11" s="18">
        <v>0.1</v>
      </c>
      <c r="P11" s="18">
        <v>0.2</v>
      </c>
      <c r="Q11" s="6"/>
      <c r="R11" s="6"/>
      <c r="S11" s="6"/>
      <c r="T11" s="6"/>
      <c r="U11" s="6"/>
      <c r="V11" s="6"/>
      <c r="W11" s="6"/>
      <c r="X11" s="6"/>
      <c r="Y11" s="12" t="s">
        <v>109</v>
      </c>
      <c r="Z11" s="13" t="s">
        <v>104</v>
      </c>
      <c r="AA11" s="13">
        <v>60</v>
      </c>
      <c r="AB11" s="13">
        <v>192</v>
      </c>
      <c r="AC11" s="18">
        <v>8</v>
      </c>
      <c r="AD11" s="25">
        <v>241</v>
      </c>
      <c r="AE11" s="26">
        <v>300</v>
      </c>
      <c r="AF11" s="18">
        <v>11</v>
      </c>
      <c r="AG11" s="18">
        <v>11</v>
      </c>
      <c r="AH11" s="18">
        <v>13</v>
      </c>
      <c r="AI11" s="18">
        <f t="shared" si="2"/>
        <v>2</v>
      </c>
      <c r="AJ11" s="18">
        <v>2</v>
      </c>
      <c r="AK11" s="22">
        <v>1.5</v>
      </c>
      <c r="AL11" s="22">
        <v>1.5</v>
      </c>
      <c r="AM11" s="18">
        <v>40</v>
      </c>
      <c r="AN11" s="18">
        <v>0.1</v>
      </c>
      <c r="AO11" s="18">
        <v>0.1</v>
      </c>
      <c r="AP11" s="18">
        <v>0.2</v>
      </c>
      <c r="AQ11" s="13">
        <v>30</v>
      </c>
      <c r="AR11" s="23">
        <v>15</v>
      </c>
      <c r="AS11" s="13">
        <v>17.5</v>
      </c>
      <c r="AT11" s="13" t="s">
        <v>106</v>
      </c>
      <c r="AU11" s="13" t="s">
        <v>107</v>
      </c>
      <c r="AV11" s="19" t="s">
        <v>108</v>
      </c>
      <c r="AW11" s="10"/>
      <c r="AX11" s="12" t="s">
        <v>110</v>
      </c>
      <c r="AY11" s="123" t="s">
        <v>104</v>
      </c>
      <c r="AZ11" s="123">
        <v>96</v>
      </c>
      <c r="BA11" s="123">
        <v>228</v>
      </c>
      <c r="BB11" s="18">
        <v>18</v>
      </c>
      <c r="BC11" s="18">
        <v>241</v>
      </c>
      <c r="BD11" s="18">
        <v>300</v>
      </c>
      <c r="BE11" s="18">
        <v>17</v>
      </c>
      <c r="BF11" s="18">
        <v>17</v>
      </c>
      <c r="BG11" s="18">
        <v>18</v>
      </c>
      <c r="BH11" s="18">
        <f t="shared" si="1"/>
        <v>1</v>
      </c>
      <c r="BI11" s="18">
        <v>2</v>
      </c>
      <c r="BJ11" s="18">
        <v>40</v>
      </c>
      <c r="BK11" s="18">
        <v>0.1</v>
      </c>
      <c r="BL11" s="18">
        <v>0.1</v>
      </c>
      <c r="BM11" s="18">
        <v>0.2</v>
      </c>
      <c r="BN11" s="22">
        <v>1</v>
      </c>
      <c r="BO11" s="22">
        <v>1</v>
      </c>
      <c r="BP11" s="123">
        <v>36</v>
      </c>
      <c r="BQ11" s="23">
        <v>18</v>
      </c>
      <c r="BR11" s="123">
        <v>17.5</v>
      </c>
      <c r="BS11" s="123" t="s">
        <v>106</v>
      </c>
      <c r="BT11" s="123" t="s">
        <v>107</v>
      </c>
      <c r="BU11" s="19" t="s">
        <v>108</v>
      </c>
      <c r="BV11" s="6"/>
      <c r="BW11" s="6"/>
      <c r="BX11" s="6"/>
      <c r="BY11" s="6"/>
      <c r="BZ11" s="6"/>
      <c r="CA11" s="6"/>
    </row>
    <row r="12" spans="1:79" ht="180">
      <c r="A12" s="42"/>
      <c r="B12" s="42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18">
        <v>0.1</v>
      </c>
      <c r="O12" s="18">
        <v>0.1</v>
      </c>
      <c r="P12" s="18">
        <v>0.2</v>
      </c>
      <c r="Q12" s="9"/>
      <c r="R12" s="9"/>
      <c r="S12" s="9"/>
      <c r="T12" s="9"/>
      <c r="U12" s="9"/>
      <c r="V12" s="9"/>
      <c r="W12" s="9"/>
      <c r="X12" s="9"/>
      <c r="Y12" s="12" t="s">
        <v>109</v>
      </c>
      <c r="Z12" s="13" t="s">
        <v>104</v>
      </c>
      <c r="AA12" s="13">
        <v>60</v>
      </c>
      <c r="AB12" s="13">
        <v>192</v>
      </c>
      <c r="AC12" s="18">
        <v>7</v>
      </c>
      <c r="AD12" s="25">
        <v>241</v>
      </c>
      <c r="AE12" s="26">
        <v>300</v>
      </c>
      <c r="AF12" s="18">
        <v>12</v>
      </c>
      <c r="AG12" s="18">
        <v>12</v>
      </c>
      <c r="AH12" s="18">
        <v>13</v>
      </c>
      <c r="AI12" s="18">
        <f t="shared" si="2"/>
        <v>1</v>
      </c>
      <c r="AJ12" s="18">
        <v>2</v>
      </c>
      <c r="AK12" s="22">
        <v>1.5</v>
      </c>
      <c r="AL12" s="22">
        <v>1.5</v>
      </c>
      <c r="AM12" s="18">
        <v>40</v>
      </c>
      <c r="AN12" s="18">
        <v>0.1</v>
      </c>
      <c r="AO12" s="18">
        <v>0.1</v>
      </c>
      <c r="AP12" s="18">
        <v>0.2</v>
      </c>
      <c r="AQ12" s="13">
        <v>30</v>
      </c>
      <c r="AR12" s="23">
        <v>15</v>
      </c>
      <c r="AS12" s="13">
        <v>17.5</v>
      </c>
      <c r="AT12" s="13" t="s">
        <v>106</v>
      </c>
      <c r="AU12" s="13" t="s">
        <v>107</v>
      </c>
      <c r="AV12" s="19" t="s">
        <v>108</v>
      </c>
      <c r="AW12" s="10"/>
      <c r="AX12" s="12" t="s">
        <v>110</v>
      </c>
      <c r="AY12" s="123" t="s">
        <v>104</v>
      </c>
      <c r="AZ12" s="123">
        <v>96</v>
      </c>
      <c r="BA12" s="123">
        <v>228</v>
      </c>
      <c r="BB12" s="31">
        <v>17</v>
      </c>
      <c r="BC12" s="18">
        <v>241</v>
      </c>
      <c r="BD12" s="18">
        <v>300</v>
      </c>
      <c r="BE12" s="32">
        <v>18</v>
      </c>
      <c r="BF12" s="32">
        <v>18</v>
      </c>
      <c r="BG12" s="32">
        <v>18</v>
      </c>
      <c r="BH12" s="32">
        <f t="shared" si="1"/>
        <v>0</v>
      </c>
      <c r="BI12" s="18">
        <v>2</v>
      </c>
      <c r="BJ12" s="18">
        <v>40</v>
      </c>
      <c r="BK12" s="18">
        <v>0.1</v>
      </c>
      <c r="BL12" s="18">
        <v>0.1</v>
      </c>
      <c r="BM12" s="18">
        <v>0.2</v>
      </c>
      <c r="BN12" s="22">
        <v>1</v>
      </c>
      <c r="BO12" s="22">
        <v>1</v>
      </c>
      <c r="BP12" s="123">
        <v>36</v>
      </c>
      <c r="BQ12" s="23">
        <v>18</v>
      </c>
      <c r="BR12" s="123">
        <v>17.5</v>
      </c>
      <c r="BS12" s="123" t="s">
        <v>106</v>
      </c>
      <c r="BT12" s="123" t="s">
        <v>107</v>
      </c>
      <c r="BU12" s="19" t="s">
        <v>108</v>
      </c>
      <c r="BV12" s="6"/>
      <c r="BW12" s="6"/>
      <c r="BX12" s="6"/>
      <c r="BY12" s="6"/>
      <c r="BZ12" s="6"/>
      <c r="CA12" s="6"/>
    </row>
    <row r="13" spans="1:79" ht="180.75" thickBot="1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18">
        <v>0.1</v>
      </c>
      <c r="O13" s="18">
        <v>0.1</v>
      </c>
      <c r="P13" s="18">
        <v>0.2</v>
      </c>
      <c r="Q13" s="42"/>
      <c r="R13" s="42"/>
      <c r="S13" s="42"/>
      <c r="T13" s="42"/>
      <c r="U13" s="42"/>
      <c r="V13" s="42"/>
      <c r="W13" s="42"/>
      <c r="X13" s="6"/>
      <c r="Y13" s="27" t="s">
        <v>109</v>
      </c>
      <c r="Z13" s="28" t="s">
        <v>104</v>
      </c>
      <c r="AA13" s="28">
        <v>60</v>
      </c>
      <c r="AB13" s="28">
        <v>192</v>
      </c>
      <c r="AC13" s="29">
        <v>6</v>
      </c>
      <c r="AD13" s="33">
        <v>241</v>
      </c>
      <c r="AE13" s="34">
        <v>300</v>
      </c>
      <c r="AF13" s="33">
        <v>12</v>
      </c>
      <c r="AG13" s="33">
        <v>12</v>
      </c>
      <c r="AH13" s="29">
        <v>13</v>
      </c>
      <c r="AI13" s="18">
        <f t="shared" si="2"/>
        <v>1</v>
      </c>
      <c r="AJ13" s="29">
        <v>2</v>
      </c>
      <c r="AK13" s="22">
        <v>1.5</v>
      </c>
      <c r="AL13" s="22">
        <v>1.5</v>
      </c>
      <c r="AM13" s="29">
        <v>40</v>
      </c>
      <c r="AN13" s="18">
        <v>0.1</v>
      </c>
      <c r="AO13" s="18">
        <v>0.1</v>
      </c>
      <c r="AP13" s="18">
        <v>0.2</v>
      </c>
      <c r="AQ13" s="28">
        <v>30</v>
      </c>
      <c r="AR13" s="36">
        <v>15</v>
      </c>
      <c r="AS13" s="28">
        <v>17.5</v>
      </c>
      <c r="AT13" s="28" t="s">
        <v>106</v>
      </c>
      <c r="AU13" s="28" t="s">
        <v>107</v>
      </c>
      <c r="AV13" s="30" t="s">
        <v>108</v>
      </c>
      <c r="AW13" s="10"/>
      <c r="AX13" s="12" t="s">
        <v>110</v>
      </c>
      <c r="AY13" s="123" t="s">
        <v>104</v>
      </c>
      <c r="AZ13" s="123">
        <v>96</v>
      </c>
      <c r="BA13" s="123">
        <v>228</v>
      </c>
      <c r="BB13" s="31">
        <v>16</v>
      </c>
      <c r="BC13" s="18">
        <v>241</v>
      </c>
      <c r="BD13" s="18">
        <v>300</v>
      </c>
      <c r="BE13" s="31">
        <v>19</v>
      </c>
      <c r="BF13" s="31">
        <v>19</v>
      </c>
      <c r="BG13" s="25">
        <v>18</v>
      </c>
      <c r="BH13" s="31">
        <f t="shared" si="1"/>
        <v>-1</v>
      </c>
      <c r="BI13" s="18">
        <v>2</v>
      </c>
      <c r="BJ13" s="18">
        <v>40</v>
      </c>
      <c r="BK13" s="18">
        <v>0.1</v>
      </c>
      <c r="BL13" s="18">
        <v>0.1</v>
      </c>
      <c r="BM13" s="18">
        <v>0.2</v>
      </c>
      <c r="BN13" s="22">
        <v>1</v>
      </c>
      <c r="BO13" s="22">
        <v>1</v>
      </c>
      <c r="BP13" s="123">
        <v>36</v>
      </c>
      <c r="BQ13" s="23">
        <v>18</v>
      </c>
      <c r="BR13" s="123">
        <v>17.5</v>
      </c>
      <c r="BS13" s="123" t="s">
        <v>106</v>
      </c>
      <c r="BT13" s="123" t="s">
        <v>107</v>
      </c>
      <c r="BU13" s="19" t="s">
        <v>108</v>
      </c>
      <c r="BV13" s="6"/>
      <c r="BW13" s="6"/>
      <c r="BX13" s="6"/>
      <c r="BY13" s="6"/>
      <c r="BZ13" s="6"/>
      <c r="CA13" s="6"/>
    </row>
    <row r="14" spans="1:79" ht="180.75" thickBot="1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14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6"/>
      <c r="Y14" s="6"/>
      <c r="Z14" s="6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42"/>
      <c r="AO14" s="42"/>
      <c r="AP14" s="42"/>
      <c r="AQ14" s="9"/>
      <c r="AR14" s="10"/>
      <c r="AS14" s="10"/>
      <c r="AT14" s="10"/>
      <c r="AU14" s="10"/>
      <c r="AV14" s="10"/>
      <c r="AW14" s="10"/>
      <c r="AX14" s="12" t="s">
        <v>110</v>
      </c>
      <c r="AY14" s="123" t="s">
        <v>104</v>
      </c>
      <c r="AZ14" s="123">
        <v>96</v>
      </c>
      <c r="BA14" s="123">
        <v>228</v>
      </c>
      <c r="BB14" s="31">
        <v>15</v>
      </c>
      <c r="BC14" s="18">
        <v>241</v>
      </c>
      <c r="BD14" s="18">
        <v>300</v>
      </c>
      <c r="BE14" s="31">
        <v>20</v>
      </c>
      <c r="BF14" s="31">
        <v>20</v>
      </c>
      <c r="BG14" s="25">
        <v>18</v>
      </c>
      <c r="BH14" s="31">
        <f t="shared" si="1"/>
        <v>-2</v>
      </c>
      <c r="BI14" s="18">
        <v>2</v>
      </c>
      <c r="BJ14" s="18">
        <v>40</v>
      </c>
      <c r="BK14" s="18">
        <v>0.1</v>
      </c>
      <c r="BL14" s="18">
        <v>0.1</v>
      </c>
      <c r="BM14" s="18">
        <v>0.2</v>
      </c>
      <c r="BN14" s="22">
        <v>1</v>
      </c>
      <c r="BO14" s="22">
        <v>1</v>
      </c>
      <c r="BP14" s="123">
        <v>36</v>
      </c>
      <c r="BQ14" s="23">
        <v>18</v>
      </c>
      <c r="BR14" s="123">
        <v>17.5</v>
      </c>
      <c r="BS14" s="123" t="s">
        <v>106</v>
      </c>
      <c r="BT14" s="123" t="s">
        <v>107</v>
      </c>
      <c r="BU14" s="19" t="s">
        <v>108</v>
      </c>
      <c r="BV14" s="6"/>
      <c r="BW14" s="6"/>
      <c r="BX14" s="6"/>
      <c r="BY14" s="6"/>
      <c r="BZ14" s="6"/>
      <c r="CA14" s="6"/>
    </row>
    <row r="15" spans="1:79" ht="180.75" thickBot="1">
      <c r="A15" s="167" t="s">
        <v>111</v>
      </c>
      <c r="B15" s="168"/>
      <c r="C15" s="168"/>
      <c r="D15" s="168"/>
      <c r="E15" s="168"/>
      <c r="F15" s="168"/>
      <c r="G15" s="168"/>
      <c r="H15" s="168"/>
      <c r="I15" s="168"/>
      <c r="J15" s="168"/>
      <c r="K15" s="168"/>
      <c r="L15" s="168"/>
      <c r="M15" s="168"/>
      <c r="N15" s="168"/>
      <c r="O15" s="168"/>
      <c r="P15" s="168"/>
      <c r="Q15" s="168"/>
      <c r="R15" s="168"/>
      <c r="S15" s="168"/>
      <c r="T15" s="168"/>
      <c r="U15" s="168"/>
      <c r="V15" s="168"/>
      <c r="W15" s="169"/>
      <c r="X15" s="10"/>
      <c r="Y15" s="143" t="s">
        <v>112</v>
      </c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44"/>
      <c r="AV15" s="145"/>
      <c r="AW15" s="10"/>
      <c r="AX15" s="12" t="s">
        <v>110</v>
      </c>
      <c r="AY15" s="123" t="s">
        <v>104</v>
      </c>
      <c r="AZ15" s="123">
        <v>96</v>
      </c>
      <c r="BA15" s="123">
        <v>228</v>
      </c>
      <c r="BB15" s="31">
        <v>14</v>
      </c>
      <c r="BC15" s="18">
        <v>241</v>
      </c>
      <c r="BD15" s="18">
        <v>300</v>
      </c>
      <c r="BE15" s="31">
        <v>21</v>
      </c>
      <c r="BF15" s="31">
        <v>21</v>
      </c>
      <c r="BG15" s="25">
        <v>18</v>
      </c>
      <c r="BH15" s="31">
        <f t="shared" si="1"/>
        <v>-3</v>
      </c>
      <c r="BI15" s="18">
        <v>2</v>
      </c>
      <c r="BJ15" s="18">
        <v>40</v>
      </c>
      <c r="BK15" s="18">
        <v>0.1</v>
      </c>
      <c r="BL15" s="18">
        <v>0.1</v>
      </c>
      <c r="BM15" s="18">
        <v>0.2</v>
      </c>
      <c r="BN15" s="22">
        <v>1</v>
      </c>
      <c r="BO15" s="22">
        <v>1</v>
      </c>
      <c r="BP15" s="123">
        <v>36</v>
      </c>
      <c r="BQ15" s="23">
        <v>18</v>
      </c>
      <c r="BR15" s="123">
        <v>17.5</v>
      </c>
      <c r="BS15" s="123" t="s">
        <v>106</v>
      </c>
      <c r="BT15" s="123" t="s">
        <v>107</v>
      </c>
      <c r="BU15" s="19" t="s">
        <v>108</v>
      </c>
      <c r="BV15" s="6"/>
      <c r="BW15" s="6"/>
      <c r="BX15" s="6"/>
      <c r="BY15" s="6"/>
      <c r="BZ15" s="6"/>
      <c r="CA15" s="6"/>
    </row>
    <row r="16" spans="1:79" ht="180">
      <c r="A16" s="12" t="s">
        <v>77</v>
      </c>
      <c r="B16" s="123" t="s">
        <v>78</v>
      </c>
      <c r="C16" s="123" t="s">
        <v>79</v>
      </c>
      <c r="D16" s="123" t="s">
        <v>80</v>
      </c>
      <c r="E16" s="14" t="s">
        <v>98</v>
      </c>
      <c r="F16" s="14" t="s">
        <v>82</v>
      </c>
      <c r="G16" s="14" t="s">
        <v>83</v>
      </c>
      <c r="H16" s="14" t="s">
        <v>99</v>
      </c>
      <c r="I16" s="14" t="s">
        <v>100</v>
      </c>
      <c r="J16" s="14" t="s">
        <v>86</v>
      </c>
      <c r="K16" s="15" t="s">
        <v>87</v>
      </c>
      <c r="L16" s="14" t="s">
        <v>88</v>
      </c>
      <c r="M16" s="14" t="s">
        <v>89</v>
      </c>
      <c r="N16" s="66" t="s">
        <v>143</v>
      </c>
      <c r="O16" s="66" t="s">
        <v>144</v>
      </c>
      <c r="P16" s="66" t="s">
        <v>145</v>
      </c>
      <c r="Q16" s="14" t="s">
        <v>90</v>
      </c>
      <c r="R16" s="123" t="s">
        <v>91</v>
      </c>
      <c r="S16" s="123" t="s">
        <v>92</v>
      </c>
      <c r="T16" s="16" t="s">
        <v>93</v>
      </c>
      <c r="U16" s="16" t="s">
        <v>94</v>
      </c>
      <c r="V16" s="16" t="s">
        <v>95</v>
      </c>
      <c r="W16" s="17" t="s">
        <v>96</v>
      </c>
      <c r="X16" s="37"/>
      <c r="Y16" s="12" t="s">
        <v>97</v>
      </c>
      <c r="Z16" s="13" t="s">
        <v>78</v>
      </c>
      <c r="AA16" s="13" t="s">
        <v>79</v>
      </c>
      <c r="AB16" s="13" t="s">
        <v>80</v>
      </c>
      <c r="AC16" s="14" t="s">
        <v>98</v>
      </c>
      <c r="AD16" s="14" t="s">
        <v>82</v>
      </c>
      <c r="AE16" s="14" t="s">
        <v>83</v>
      </c>
      <c r="AF16" s="14" t="s">
        <v>99</v>
      </c>
      <c r="AG16" s="14" t="s">
        <v>100</v>
      </c>
      <c r="AH16" s="14" t="s">
        <v>86</v>
      </c>
      <c r="AI16" s="15" t="s">
        <v>87</v>
      </c>
      <c r="AJ16" s="14" t="s">
        <v>101</v>
      </c>
      <c r="AK16" s="14" t="s">
        <v>169</v>
      </c>
      <c r="AL16" s="14" t="s">
        <v>170</v>
      </c>
      <c r="AM16" s="14" t="s">
        <v>89</v>
      </c>
      <c r="AN16" s="66" t="s">
        <v>143</v>
      </c>
      <c r="AO16" s="66" t="s">
        <v>144</v>
      </c>
      <c r="AP16" s="66" t="s">
        <v>145</v>
      </c>
      <c r="AQ16" s="13" t="s">
        <v>91</v>
      </c>
      <c r="AR16" s="13" t="s">
        <v>92</v>
      </c>
      <c r="AS16" s="16" t="s">
        <v>93</v>
      </c>
      <c r="AT16" s="16" t="s">
        <v>94</v>
      </c>
      <c r="AU16" s="16" t="s">
        <v>95</v>
      </c>
      <c r="AV16" s="17" t="s">
        <v>96</v>
      </c>
      <c r="AW16" s="10"/>
      <c r="AX16" s="12" t="s">
        <v>110</v>
      </c>
      <c r="AY16" s="123" t="s">
        <v>104</v>
      </c>
      <c r="AZ16" s="123">
        <v>96</v>
      </c>
      <c r="BA16" s="123">
        <v>228</v>
      </c>
      <c r="BB16" s="31">
        <v>13</v>
      </c>
      <c r="BC16" s="18">
        <v>241</v>
      </c>
      <c r="BD16" s="18">
        <v>300</v>
      </c>
      <c r="BE16" s="31">
        <v>22</v>
      </c>
      <c r="BF16" s="31">
        <v>22</v>
      </c>
      <c r="BG16" s="25">
        <v>18</v>
      </c>
      <c r="BH16" s="31">
        <f t="shared" si="1"/>
        <v>-4</v>
      </c>
      <c r="BI16" s="18">
        <v>2</v>
      </c>
      <c r="BJ16" s="18">
        <v>40</v>
      </c>
      <c r="BK16" s="18">
        <v>0.1</v>
      </c>
      <c r="BL16" s="18">
        <v>0.1</v>
      </c>
      <c r="BM16" s="18">
        <v>0.2</v>
      </c>
      <c r="BN16" s="22">
        <v>1</v>
      </c>
      <c r="BO16" s="22">
        <v>1</v>
      </c>
      <c r="BP16" s="123">
        <v>36</v>
      </c>
      <c r="BQ16" s="23">
        <v>18</v>
      </c>
      <c r="BR16" s="123">
        <v>17.5</v>
      </c>
      <c r="BS16" s="123" t="s">
        <v>106</v>
      </c>
      <c r="BT16" s="123" t="s">
        <v>107</v>
      </c>
      <c r="BU16" s="19" t="s">
        <v>108</v>
      </c>
      <c r="BV16" s="6"/>
      <c r="BW16" s="6"/>
      <c r="BX16" s="6"/>
      <c r="BY16" s="6"/>
      <c r="BZ16" s="6"/>
      <c r="CA16" s="6"/>
    </row>
    <row r="17" spans="1:79" ht="180">
      <c r="A17" s="12" t="s">
        <v>113</v>
      </c>
      <c r="B17" s="123" t="s">
        <v>104</v>
      </c>
      <c r="C17" s="123">
        <v>60</v>
      </c>
      <c r="D17" s="123">
        <v>120</v>
      </c>
      <c r="E17" s="18">
        <v>10</v>
      </c>
      <c r="F17" s="18">
        <v>40</v>
      </c>
      <c r="G17" s="18">
        <v>96</v>
      </c>
      <c r="H17" s="18">
        <v>4</v>
      </c>
      <c r="I17" s="18">
        <v>4</v>
      </c>
      <c r="J17" s="18">
        <v>7</v>
      </c>
      <c r="K17" s="18">
        <f>J17-I17</f>
        <v>3</v>
      </c>
      <c r="L17" s="18">
        <v>1.5</v>
      </c>
      <c r="M17" s="18">
        <v>25</v>
      </c>
      <c r="N17" s="18">
        <v>0.1</v>
      </c>
      <c r="O17" s="18">
        <v>0.1</v>
      </c>
      <c r="P17" s="18">
        <v>0.2</v>
      </c>
      <c r="Q17" s="18">
        <v>1</v>
      </c>
      <c r="R17" s="123">
        <v>20</v>
      </c>
      <c r="S17" s="123">
        <v>10</v>
      </c>
      <c r="T17" s="123">
        <v>35</v>
      </c>
      <c r="U17" s="123" t="s">
        <v>106</v>
      </c>
      <c r="V17" s="123" t="s">
        <v>107</v>
      </c>
      <c r="W17" s="19" t="s">
        <v>108</v>
      </c>
      <c r="X17" s="24"/>
      <c r="Y17" s="12" t="s">
        <v>114</v>
      </c>
      <c r="Z17" s="13" t="s">
        <v>104</v>
      </c>
      <c r="AA17" s="13">
        <v>60</v>
      </c>
      <c r="AB17" s="13">
        <v>192</v>
      </c>
      <c r="AC17" s="18">
        <v>15</v>
      </c>
      <c r="AD17" s="18">
        <v>60</v>
      </c>
      <c r="AE17" s="13">
        <v>120</v>
      </c>
      <c r="AF17" s="18">
        <v>4</v>
      </c>
      <c r="AG17" s="18">
        <v>4</v>
      </c>
      <c r="AH17" s="18">
        <v>13</v>
      </c>
      <c r="AI17" s="18">
        <f>AH17-AG17</f>
        <v>9</v>
      </c>
      <c r="AJ17" s="18">
        <v>1.5</v>
      </c>
      <c r="AK17" s="22">
        <v>1</v>
      </c>
      <c r="AL17" s="22">
        <v>0</v>
      </c>
      <c r="AM17" s="18">
        <v>25</v>
      </c>
      <c r="AN17" s="18">
        <v>0.1</v>
      </c>
      <c r="AO17" s="18">
        <v>0.1</v>
      </c>
      <c r="AP17" s="18">
        <v>0.2</v>
      </c>
      <c r="AQ17" s="13">
        <v>20</v>
      </c>
      <c r="AR17" s="13">
        <v>10</v>
      </c>
      <c r="AS17" s="13">
        <v>17.5</v>
      </c>
      <c r="AT17" s="13" t="s">
        <v>106</v>
      </c>
      <c r="AU17" s="13" t="s">
        <v>107</v>
      </c>
      <c r="AV17" s="19" t="s">
        <v>108</v>
      </c>
      <c r="AW17" s="10"/>
      <c r="AX17" s="12" t="s">
        <v>110</v>
      </c>
      <c r="AY17" s="123" t="s">
        <v>104</v>
      </c>
      <c r="AZ17" s="123">
        <v>96</v>
      </c>
      <c r="BA17" s="123">
        <v>228</v>
      </c>
      <c r="BB17" s="31">
        <v>12</v>
      </c>
      <c r="BC17" s="18">
        <v>241</v>
      </c>
      <c r="BD17" s="18">
        <v>300</v>
      </c>
      <c r="BE17" s="31">
        <v>23</v>
      </c>
      <c r="BF17" s="31">
        <v>23</v>
      </c>
      <c r="BG17" s="25">
        <v>18</v>
      </c>
      <c r="BH17" s="31">
        <f t="shared" si="1"/>
        <v>-5</v>
      </c>
      <c r="BI17" s="18">
        <v>2</v>
      </c>
      <c r="BJ17" s="18">
        <v>40</v>
      </c>
      <c r="BK17" s="18">
        <v>0.1</v>
      </c>
      <c r="BL17" s="18">
        <v>0.1</v>
      </c>
      <c r="BM17" s="18">
        <v>0.2</v>
      </c>
      <c r="BN17" s="22">
        <v>1</v>
      </c>
      <c r="BO17" s="22">
        <v>1</v>
      </c>
      <c r="BP17" s="123">
        <v>36</v>
      </c>
      <c r="BQ17" s="23">
        <v>18</v>
      </c>
      <c r="BR17" s="123">
        <v>17.5</v>
      </c>
      <c r="BS17" s="123" t="s">
        <v>106</v>
      </c>
      <c r="BT17" s="123" t="s">
        <v>107</v>
      </c>
      <c r="BU17" s="19" t="s">
        <v>108</v>
      </c>
      <c r="BV17" s="6"/>
      <c r="BW17" s="6"/>
      <c r="BX17" s="6"/>
      <c r="BY17" s="6"/>
      <c r="BZ17" s="6"/>
      <c r="CA17" s="6"/>
    </row>
    <row r="18" spans="1:79" ht="180">
      <c r="A18" s="12" t="s">
        <v>113</v>
      </c>
      <c r="B18" s="123" t="s">
        <v>104</v>
      </c>
      <c r="C18" s="123">
        <v>60</v>
      </c>
      <c r="D18" s="123">
        <v>120</v>
      </c>
      <c r="E18" s="18">
        <v>9</v>
      </c>
      <c r="F18" s="18">
        <v>40</v>
      </c>
      <c r="G18" s="18">
        <v>96</v>
      </c>
      <c r="H18" s="18">
        <v>5</v>
      </c>
      <c r="I18" s="18">
        <v>5</v>
      </c>
      <c r="J18" s="18">
        <v>7</v>
      </c>
      <c r="K18" s="18">
        <f>J18-I18</f>
        <v>2</v>
      </c>
      <c r="L18" s="18">
        <v>1.5</v>
      </c>
      <c r="M18" s="18">
        <v>25</v>
      </c>
      <c r="N18" s="18">
        <v>0.1</v>
      </c>
      <c r="O18" s="18">
        <v>0.1</v>
      </c>
      <c r="P18" s="18">
        <v>0.2</v>
      </c>
      <c r="Q18" s="18">
        <v>1</v>
      </c>
      <c r="R18" s="123">
        <v>20</v>
      </c>
      <c r="S18" s="123">
        <v>10</v>
      </c>
      <c r="T18" s="123">
        <v>35</v>
      </c>
      <c r="U18" s="123" t="s">
        <v>106</v>
      </c>
      <c r="V18" s="123" t="s">
        <v>107</v>
      </c>
      <c r="W18" s="19" t="s">
        <v>108</v>
      </c>
      <c r="X18" s="24"/>
      <c r="Y18" s="12" t="s">
        <v>114</v>
      </c>
      <c r="Z18" s="13" t="s">
        <v>104</v>
      </c>
      <c r="AA18" s="13">
        <v>60</v>
      </c>
      <c r="AB18" s="13">
        <v>192</v>
      </c>
      <c r="AC18" s="18">
        <v>14</v>
      </c>
      <c r="AD18" s="18">
        <v>121</v>
      </c>
      <c r="AE18" s="13">
        <v>180</v>
      </c>
      <c r="AF18" s="18">
        <v>5</v>
      </c>
      <c r="AG18" s="18">
        <v>5</v>
      </c>
      <c r="AH18" s="18">
        <v>13</v>
      </c>
      <c r="AI18" s="18">
        <f>AH18-AG18</f>
        <v>8</v>
      </c>
      <c r="AJ18" s="18">
        <v>1.5</v>
      </c>
      <c r="AK18" s="22">
        <v>1.5</v>
      </c>
      <c r="AL18" s="22">
        <v>0</v>
      </c>
      <c r="AM18" s="18">
        <v>30</v>
      </c>
      <c r="AN18" s="18">
        <v>0.1</v>
      </c>
      <c r="AO18" s="18">
        <v>0.1</v>
      </c>
      <c r="AP18" s="18">
        <v>0.2</v>
      </c>
      <c r="AQ18" s="13">
        <v>25</v>
      </c>
      <c r="AR18" s="23">
        <v>12</v>
      </c>
      <c r="AS18" s="13">
        <v>17.5</v>
      </c>
      <c r="AT18" s="13" t="s">
        <v>106</v>
      </c>
      <c r="AU18" s="13" t="s">
        <v>107</v>
      </c>
      <c r="AV18" s="19" t="s">
        <v>108</v>
      </c>
      <c r="AW18" s="10"/>
      <c r="AX18" s="121" t="s">
        <v>110</v>
      </c>
      <c r="AY18" s="124" t="s">
        <v>104</v>
      </c>
      <c r="AZ18" s="124">
        <v>96</v>
      </c>
      <c r="BA18" s="124">
        <v>228</v>
      </c>
      <c r="BB18" s="155">
        <v>11</v>
      </c>
      <c r="BC18" s="156">
        <v>241</v>
      </c>
      <c r="BD18" s="156">
        <v>300</v>
      </c>
      <c r="BE18" s="155">
        <v>24</v>
      </c>
      <c r="BF18" s="155">
        <v>24</v>
      </c>
      <c r="BG18" s="157">
        <v>18</v>
      </c>
      <c r="BH18" s="155">
        <f>BG18-BF18</f>
        <v>-6</v>
      </c>
      <c r="BI18" s="156">
        <v>2</v>
      </c>
      <c r="BJ18" s="156">
        <v>40</v>
      </c>
      <c r="BK18" s="156">
        <v>0.1</v>
      </c>
      <c r="BL18" s="156">
        <v>0.1</v>
      </c>
      <c r="BM18" s="156">
        <v>0.2</v>
      </c>
      <c r="BN18" s="158">
        <v>1</v>
      </c>
      <c r="BO18" s="158">
        <v>1</v>
      </c>
      <c r="BP18" s="124">
        <v>36</v>
      </c>
      <c r="BQ18" s="159">
        <v>18</v>
      </c>
      <c r="BR18" s="124">
        <v>17.5</v>
      </c>
      <c r="BS18" s="124" t="s">
        <v>106</v>
      </c>
      <c r="BT18" s="124" t="s">
        <v>107</v>
      </c>
      <c r="BU18" s="122" t="s">
        <v>108</v>
      </c>
      <c r="BV18" s="6"/>
      <c r="BW18" s="6"/>
      <c r="BX18" s="6"/>
      <c r="BY18" s="6"/>
      <c r="BZ18" s="6"/>
      <c r="CA18" s="6"/>
    </row>
    <row r="19" spans="1:79" ht="180.75" thickBot="1">
      <c r="A19" s="12" t="s">
        <v>113</v>
      </c>
      <c r="B19" s="123" t="s">
        <v>104</v>
      </c>
      <c r="C19" s="123">
        <v>60</v>
      </c>
      <c r="D19" s="123">
        <v>120</v>
      </c>
      <c r="E19" s="18">
        <v>8</v>
      </c>
      <c r="F19" s="18">
        <v>40</v>
      </c>
      <c r="G19" s="18">
        <v>96</v>
      </c>
      <c r="H19" s="18">
        <v>6</v>
      </c>
      <c r="I19" s="18">
        <v>6</v>
      </c>
      <c r="J19" s="18">
        <v>7</v>
      </c>
      <c r="K19" s="18">
        <f>J19-I19</f>
        <v>1</v>
      </c>
      <c r="L19" s="18">
        <v>1.5</v>
      </c>
      <c r="M19" s="18">
        <v>25</v>
      </c>
      <c r="N19" s="18">
        <v>0.1</v>
      </c>
      <c r="O19" s="18">
        <v>0.1</v>
      </c>
      <c r="P19" s="18">
        <v>0.2</v>
      </c>
      <c r="Q19" s="18">
        <v>1</v>
      </c>
      <c r="R19" s="123">
        <v>20</v>
      </c>
      <c r="S19" s="123">
        <v>10</v>
      </c>
      <c r="T19" s="123">
        <v>35</v>
      </c>
      <c r="U19" s="123" t="s">
        <v>106</v>
      </c>
      <c r="V19" s="123" t="s">
        <v>107</v>
      </c>
      <c r="W19" s="19" t="s">
        <v>108</v>
      </c>
      <c r="X19" s="24"/>
      <c r="Y19" s="12" t="s">
        <v>114</v>
      </c>
      <c r="Z19" s="13" t="s">
        <v>104</v>
      </c>
      <c r="AA19" s="13">
        <v>60</v>
      </c>
      <c r="AB19" s="13">
        <v>192</v>
      </c>
      <c r="AC19" s="18">
        <v>13</v>
      </c>
      <c r="AD19" s="18">
        <v>181</v>
      </c>
      <c r="AE19" s="13">
        <v>300</v>
      </c>
      <c r="AF19" s="18">
        <v>6</v>
      </c>
      <c r="AG19" s="18">
        <v>6</v>
      </c>
      <c r="AH19" s="18">
        <v>13</v>
      </c>
      <c r="AI19" s="18">
        <f t="shared" ref="AI19:AI26" si="3">AH19-AG19</f>
        <v>7</v>
      </c>
      <c r="AJ19" s="18">
        <v>2</v>
      </c>
      <c r="AK19" s="22">
        <v>1.5</v>
      </c>
      <c r="AL19" s="22">
        <v>0</v>
      </c>
      <c r="AM19" s="18">
        <v>40</v>
      </c>
      <c r="AN19" s="18">
        <v>0.1</v>
      </c>
      <c r="AO19" s="18">
        <v>0.1</v>
      </c>
      <c r="AP19" s="18">
        <v>0.2</v>
      </c>
      <c r="AQ19" s="13">
        <v>30</v>
      </c>
      <c r="AR19" s="23">
        <v>15</v>
      </c>
      <c r="AS19" s="13">
        <v>17.5</v>
      </c>
      <c r="AT19" s="13" t="s">
        <v>106</v>
      </c>
      <c r="AU19" s="13" t="s">
        <v>107</v>
      </c>
      <c r="AV19" s="19" t="s">
        <v>108</v>
      </c>
      <c r="AW19" s="10"/>
      <c r="AX19" s="27" t="s">
        <v>110</v>
      </c>
      <c r="AY19" s="28" t="s">
        <v>104</v>
      </c>
      <c r="AZ19" s="28">
        <v>96</v>
      </c>
      <c r="BA19" s="28">
        <v>228</v>
      </c>
      <c r="BB19" s="38">
        <v>10</v>
      </c>
      <c r="BC19" s="29">
        <v>241</v>
      </c>
      <c r="BD19" s="29">
        <v>300</v>
      </c>
      <c r="BE19" s="38">
        <v>25</v>
      </c>
      <c r="BF19" s="38">
        <v>25</v>
      </c>
      <c r="BG19" s="33">
        <v>18</v>
      </c>
      <c r="BH19" s="38">
        <v>-7</v>
      </c>
      <c r="BI19" s="29">
        <v>2</v>
      </c>
      <c r="BJ19" s="29">
        <v>40</v>
      </c>
      <c r="BK19" s="29">
        <v>0.1</v>
      </c>
      <c r="BL19" s="29">
        <v>0.1</v>
      </c>
      <c r="BM19" s="29">
        <v>0.2</v>
      </c>
      <c r="BN19" s="35">
        <v>1</v>
      </c>
      <c r="BO19" s="35">
        <v>1</v>
      </c>
      <c r="BP19" s="28">
        <v>36</v>
      </c>
      <c r="BQ19" s="36">
        <v>18</v>
      </c>
      <c r="BR19" s="28">
        <v>17.5</v>
      </c>
      <c r="BS19" s="28" t="s">
        <v>106</v>
      </c>
      <c r="BT19" s="28" t="s">
        <v>107</v>
      </c>
      <c r="BU19" s="30" t="s">
        <v>108</v>
      </c>
      <c r="BV19" s="6"/>
      <c r="BW19" s="6"/>
      <c r="BX19" s="6"/>
      <c r="BY19" s="6"/>
      <c r="BZ19" s="6"/>
      <c r="CA19" s="6"/>
    </row>
    <row r="20" spans="1:79" ht="180.75" thickBot="1">
      <c r="A20" s="12" t="s">
        <v>113</v>
      </c>
      <c r="B20" s="123" t="s">
        <v>104</v>
      </c>
      <c r="C20" s="123">
        <v>60</v>
      </c>
      <c r="D20" s="123">
        <v>120</v>
      </c>
      <c r="E20" s="18">
        <v>7</v>
      </c>
      <c r="F20" s="18">
        <v>40</v>
      </c>
      <c r="G20" s="18">
        <v>96</v>
      </c>
      <c r="H20" s="18">
        <v>7</v>
      </c>
      <c r="I20" s="18">
        <v>7</v>
      </c>
      <c r="J20" s="18">
        <v>7</v>
      </c>
      <c r="K20" s="25">
        <f>J20-I20</f>
        <v>0</v>
      </c>
      <c r="L20" s="18">
        <v>1.5</v>
      </c>
      <c r="M20" s="18">
        <v>25</v>
      </c>
      <c r="N20" s="18">
        <v>0.1</v>
      </c>
      <c r="O20" s="18">
        <v>0.1</v>
      </c>
      <c r="P20" s="18">
        <v>0.2</v>
      </c>
      <c r="Q20" s="18">
        <v>1</v>
      </c>
      <c r="R20" s="123">
        <v>20</v>
      </c>
      <c r="S20" s="123">
        <v>10</v>
      </c>
      <c r="T20" s="123">
        <v>35</v>
      </c>
      <c r="U20" s="123" t="s">
        <v>106</v>
      </c>
      <c r="V20" s="123" t="s">
        <v>107</v>
      </c>
      <c r="W20" s="19" t="s">
        <v>108</v>
      </c>
      <c r="X20" s="24"/>
      <c r="Y20" s="12" t="s">
        <v>114</v>
      </c>
      <c r="Z20" s="13" t="s">
        <v>104</v>
      </c>
      <c r="AA20" s="13">
        <v>60</v>
      </c>
      <c r="AB20" s="13">
        <v>192</v>
      </c>
      <c r="AC20" s="18">
        <v>12</v>
      </c>
      <c r="AD20" s="18">
        <v>241</v>
      </c>
      <c r="AE20" s="13">
        <v>300</v>
      </c>
      <c r="AF20" s="18">
        <v>7</v>
      </c>
      <c r="AG20" s="18">
        <v>7</v>
      </c>
      <c r="AH20" s="18">
        <v>13</v>
      </c>
      <c r="AI20" s="18">
        <f t="shared" si="3"/>
        <v>6</v>
      </c>
      <c r="AJ20" s="18">
        <v>2</v>
      </c>
      <c r="AK20" s="22">
        <v>1.5</v>
      </c>
      <c r="AL20" s="22">
        <v>0</v>
      </c>
      <c r="AM20" s="18">
        <v>40</v>
      </c>
      <c r="AN20" s="18">
        <v>0.1</v>
      </c>
      <c r="AO20" s="18">
        <v>0.1</v>
      </c>
      <c r="AP20" s="18">
        <v>0.2</v>
      </c>
      <c r="AQ20" s="13">
        <v>30</v>
      </c>
      <c r="AR20" s="23">
        <v>15</v>
      </c>
      <c r="AS20" s="13">
        <v>17.5</v>
      </c>
      <c r="AT20" s="13" t="s">
        <v>106</v>
      </c>
      <c r="AU20" s="13" t="s">
        <v>107</v>
      </c>
      <c r="AV20" s="19" t="s">
        <v>108</v>
      </c>
      <c r="AW20" s="10"/>
      <c r="BV20" s="9"/>
      <c r="BW20" s="9"/>
      <c r="BX20" s="9"/>
      <c r="BY20" s="9"/>
      <c r="BZ20" s="9"/>
      <c r="CA20" s="6"/>
    </row>
    <row r="21" spans="1:79" ht="180.75" thickBot="1">
      <c r="A21" s="12" t="s">
        <v>113</v>
      </c>
      <c r="B21" s="13" t="s">
        <v>104</v>
      </c>
      <c r="C21" s="13">
        <v>60</v>
      </c>
      <c r="D21" s="13">
        <v>120</v>
      </c>
      <c r="E21" s="18">
        <v>6</v>
      </c>
      <c r="F21" s="18">
        <v>40</v>
      </c>
      <c r="G21" s="18">
        <v>96</v>
      </c>
      <c r="H21" s="18">
        <v>7</v>
      </c>
      <c r="I21" s="18">
        <v>7</v>
      </c>
      <c r="J21" s="18">
        <v>7</v>
      </c>
      <c r="K21" s="25">
        <f>J21-I21</f>
        <v>0</v>
      </c>
      <c r="L21" s="18">
        <v>1.5</v>
      </c>
      <c r="M21" s="18">
        <v>25</v>
      </c>
      <c r="N21" s="18">
        <v>0.1</v>
      </c>
      <c r="O21" s="18">
        <v>0.1</v>
      </c>
      <c r="P21" s="18">
        <v>0.2</v>
      </c>
      <c r="Q21" s="18">
        <v>1</v>
      </c>
      <c r="R21" s="13">
        <v>20</v>
      </c>
      <c r="S21" s="13">
        <v>10</v>
      </c>
      <c r="T21" s="13">
        <v>35</v>
      </c>
      <c r="U21" s="13" t="s">
        <v>106</v>
      </c>
      <c r="V21" s="13" t="s">
        <v>107</v>
      </c>
      <c r="W21" s="19" t="s">
        <v>108</v>
      </c>
      <c r="X21" s="24"/>
      <c r="Y21" s="12" t="s">
        <v>114</v>
      </c>
      <c r="Z21" s="13" t="s">
        <v>104</v>
      </c>
      <c r="AA21" s="13">
        <v>60</v>
      </c>
      <c r="AB21" s="13">
        <v>192</v>
      </c>
      <c r="AC21" s="18">
        <v>11</v>
      </c>
      <c r="AD21" s="18">
        <v>241</v>
      </c>
      <c r="AE21" s="13">
        <v>300</v>
      </c>
      <c r="AF21" s="18">
        <v>8</v>
      </c>
      <c r="AG21" s="18">
        <v>8</v>
      </c>
      <c r="AH21" s="18">
        <v>13</v>
      </c>
      <c r="AI21" s="18">
        <f t="shared" si="3"/>
        <v>5</v>
      </c>
      <c r="AJ21" s="18">
        <v>2</v>
      </c>
      <c r="AK21" s="22">
        <v>1.5</v>
      </c>
      <c r="AL21" s="22">
        <v>0</v>
      </c>
      <c r="AM21" s="18">
        <v>40</v>
      </c>
      <c r="AN21" s="18">
        <v>0.1</v>
      </c>
      <c r="AO21" s="18">
        <v>0.1</v>
      </c>
      <c r="AP21" s="18">
        <v>0.2</v>
      </c>
      <c r="AQ21" s="13">
        <v>30</v>
      </c>
      <c r="AR21" s="23">
        <v>15</v>
      </c>
      <c r="AS21" s="13">
        <v>17.5</v>
      </c>
      <c r="AT21" s="13" t="s">
        <v>106</v>
      </c>
      <c r="AU21" s="13" t="s">
        <v>107</v>
      </c>
      <c r="AV21" s="19" t="s">
        <v>108</v>
      </c>
      <c r="AW21" s="10"/>
      <c r="AX21" s="146" t="s">
        <v>115</v>
      </c>
      <c r="AY21" s="147"/>
      <c r="AZ21" s="147"/>
      <c r="BA21" s="147"/>
      <c r="BB21" s="147"/>
      <c r="BC21" s="147"/>
      <c r="BD21" s="147"/>
      <c r="BE21" s="147"/>
      <c r="BF21" s="147"/>
      <c r="BG21" s="147"/>
      <c r="BH21" s="147"/>
      <c r="BI21" s="147"/>
      <c r="BJ21" s="147"/>
      <c r="BK21" s="147"/>
      <c r="BL21" s="147"/>
      <c r="BM21" s="147"/>
      <c r="BN21" s="147"/>
      <c r="BO21" s="147"/>
      <c r="BP21" s="147"/>
      <c r="BQ21" s="147"/>
      <c r="BR21" s="147"/>
      <c r="BS21" s="147"/>
      <c r="BT21" s="147"/>
      <c r="BU21" s="148"/>
      <c r="BV21" s="6"/>
      <c r="BW21" s="6"/>
      <c r="BX21" s="6"/>
      <c r="BY21" s="6"/>
      <c r="BZ21" s="6"/>
      <c r="CA21" s="6"/>
    </row>
    <row r="22" spans="1:79" ht="180">
      <c r="A22" s="12" t="s">
        <v>113</v>
      </c>
      <c r="B22" s="13" t="s">
        <v>104</v>
      </c>
      <c r="C22" s="13">
        <v>60</v>
      </c>
      <c r="D22" s="13">
        <v>120</v>
      </c>
      <c r="E22" s="18">
        <v>5</v>
      </c>
      <c r="F22" s="18">
        <v>40</v>
      </c>
      <c r="G22" s="18">
        <v>96</v>
      </c>
      <c r="H22" s="18">
        <v>7</v>
      </c>
      <c r="I22" s="18">
        <v>7</v>
      </c>
      <c r="J22" s="18">
        <v>7</v>
      </c>
      <c r="K22" s="25">
        <f>J22-I22</f>
        <v>0</v>
      </c>
      <c r="L22" s="18">
        <v>1.5</v>
      </c>
      <c r="M22" s="18">
        <v>25</v>
      </c>
      <c r="N22" s="18">
        <v>0.1</v>
      </c>
      <c r="O22" s="18">
        <v>0.1</v>
      </c>
      <c r="P22" s="18">
        <v>0.2</v>
      </c>
      <c r="Q22" s="18">
        <v>1</v>
      </c>
      <c r="R22" s="13">
        <v>20</v>
      </c>
      <c r="S22" s="13">
        <v>10</v>
      </c>
      <c r="T22" s="13">
        <v>35</v>
      </c>
      <c r="U22" s="13" t="s">
        <v>106</v>
      </c>
      <c r="V22" s="13" t="s">
        <v>107</v>
      </c>
      <c r="W22" s="19" t="s">
        <v>108</v>
      </c>
      <c r="X22" s="24"/>
      <c r="Y22" s="12" t="s">
        <v>114</v>
      </c>
      <c r="Z22" s="13" t="s">
        <v>104</v>
      </c>
      <c r="AA22" s="13">
        <v>60</v>
      </c>
      <c r="AB22" s="13">
        <v>192</v>
      </c>
      <c r="AC22" s="18">
        <v>10</v>
      </c>
      <c r="AD22" s="18">
        <v>241</v>
      </c>
      <c r="AE22" s="13">
        <v>300</v>
      </c>
      <c r="AF22" s="18">
        <v>9</v>
      </c>
      <c r="AG22" s="18">
        <v>9</v>
      </c>
      <c r="AH22" s="18">
        <v>13</v>
      </c>
      <c r="AI22" s="18">
        <f t="shared" si="3"/>
        <v>4</v>
      </c>
      <c r="AJ22" s="18">
        <v>2</v>
      </c>
      <c r="AK22" s="22">
        <v>1.5</v>
      </c>
      <c r="AL22" s="22">
        <v>0</v>
      </c>
      <c r="AM22" s="18">
        <v>40</v>
      </c>
      <c r="AN22" s="18">
        <v>0.1</v>
      </c>
      <c r="AO22" s="18">
        <v>0.1</v>
      </c>
      <c r="AP22" s="18">
        <v>0.2</v>
      </c>
      <c r="AQ22" s="13">
        <v>30</v>
      </c>
      <c r="AR22" s="23">
        <v>15</v>
      </c>
      <c r="AS22" s="13">
        <v>17.5</v>
      </c>
      <c r="AT22" s="13" t="s">
        <v>106</v>
      </c>
      <c r="AU22" s="13" t="s">
        <v>107</v>
      </c>
      <c r="AV22" s="19" t="s">
        <v>108</v>
      </c>
      <c r="AW22" s="10"/>
      <c r="AX22" s="12" t="s">
        <v>77</v>
      </c>
      <c r="AY22" s="123" t="s">
        <v>116</v>
      </c>
      <c r="AZ22" s="123" t="s">
        <v>79</v>
      </c>
      <c r="BA22" s="123" t="s">
        <v>80</v>
      </c>
      <c r="BB22" s="14" t="s">
        <v>98</v>
      </c>
      <c r="BC22" s="14" t="s">
        <v>82</v>
      </c>
      <c r="BD22" s="14" t="s">
        <v>83</v>
      </c>
      <c r="BE22" s="14" t="s">
        <v>99</v>
      </c>
      <c r="BF22" s="14" t="s">
        <v>100</v>
      </c>
      <c r="BG22" s="14" t="s">
        <v>86</v>
      </c>
      <c r="BH22" s="15" t="s">
        <v>87</v>
      </c>
      <c r="BI22" s="14" t="s">
        <v>101</v>
      </c>
      <c r="BJ22" s="14" t="s">
        <v>89</v>
      </c>
      <c r="BK22" s="66" t="s">
        <v>143</v>
      </c>
      <c r="BL22" s="66" t="s">
        <v>144</v>
      </c>
      <c r="BM22" s="66" t="s">
        <v>145</v>
      </c>
      <c r="BN22" s="14" t="s">
        <v>169</v>
      </c>
      <c r="BO22" s="14" t="s">
        <v>170</v>
      </c>
      <c r="BP22" s="123" t="s">
        <v>91</v>
      </c>
      <c r="BQ22" s="123" t="s">
        <v>92</v>
      </c>
      <c r="BR22" s="16" t="s">
        <v>93</v>
      </c>
      <c r="BS22" s="16" t="s">
        <v>94</v>
      </c>
      <c r="BT22" s="16" t="s">
        <v>95</v>
      </c>
      <c r="BU22" s="17" t="s">
        <v>96</v>
      </c>
      <c r="BV22" s="6"/>
      <c r="BW22" s="6"/>
      <c r="BX22" s="6"/>
      <c r="BY22" s="6"/>
      <c r="BZ22" s="6"/>
      <c r="CA22" s="6"/>
    </row>
    <row r="23" spans="1:79" ht="180.75" thickBot="1">
      <c r="A23" s="27" t="s">
        <v>113</v>
      </c>
      <c r="B23" s="28" t="s">
        <v>104</v>
      </c>
      <c r="C23" s="28">
        <v>60</v>
      </c>
      <c r="D23" s="28">
        <v>120</v>
      </c>
      <c r="E23" s="29">
        <v>4</v>
      </c>
      <c r="F23" s="29">
        <v>40</v>
      </c>
      <c r="G23" s="29">
        <v>96</v>
      </c>
      <c r="H23" s="29">
        <v>7</v>
      </c>
      <c r="I23" s="29">
        <v>7</v>
      </c>
      <c r="J23" s="29">
        <v>7</v>
      </c>
      <c r="K23" s="25">
        <f>J23-I23</f>
        <v>0</v>
      </c>
      <c r="L23" s="29">
        <v>1.5</v>
      </c>
      <c r="M23" s="18">
        <v>25</v>
      </c>
      <c r="N23" s="18">
        <v>0.1</v>
      </c>
      <c r="O23" s="18">
        <v>0.1</v>
      </c>
      <c r="P23" s="18">
        <v>0.2</v>
      </c>
      <c r="Q23" s="29">
        <v>1</v>
      </c>
      <c r="R23" s="28">
        <v>20</v>
      </c>
      <c r="S23" s="28">
        <v>10</v>
      </c>
      <c r="T23" s="28">
        <v>35</v>
      </c>
      <c r="U23" s="28" t="s">
        <v>106</v>
      </c>
      <c r="V23" s="28" t="s">
        <v>107</v>
      </c>
      <c r="W23" s="30" t="s">
        <v>108</v>
      </c>
      <c r="X23" s="24"/>
      <c r="Y23" s="12" t="s">
        <v>114</v>
      </c>
      <c r="Z23" s="13" t="s">
        <v>104</v>
      </c>
      <c r="AA23" s="13">
        <v>60</v>
      </c>
      <c r="AB23" s="13">
        <v>192</v>
      </c>
      <c r="AC23" s="18">
        <v>9</v>
      </c>
      <c r="AD23" s="18">
        <v>241</v>
      </c>
      <c r="AE23" s="13">
        <v>300</v>
      </c>
      <c r="AF23" s="18">
        <v>10</v>
      </c>
      <c r="AG23" s="18">
        <v>10</v>
      </c>
      <c r="AH23" s="18">
        <v>13</v>
      </c>
      <c r="AI23" s="18">
        <f t="shared" si="3"/>
        <v>3</v>
      </c>
      <c r="AJ23" s="18">
        <v>2</v>
      </c>
      <c r="AK23" s="22">
        <v>1.5</v>
      </c>
      <c r="AL23" s="22">
        <v>0</v>
      </c>
      <c r="AM23" s="18">
        <v>40</v>
      </c>
      <c r="AN23" s="18">
        <v>0.1</v>
      </c>
      <c r="AO23" s="18">
        <v>0.1</v>
      </c>
      <c r="AP23" s="18">
        <v>0.2</v>
      </c>
      <c r="AQ23" s="13">
        <v>30</v>
      </c>
      <c r="AR23" s="23">
        <v>15</v>
      </c>
      <c r="AS23" s="13">
        <v>17.5</v>
      </c>
      <c r="AT23" s="13" t="s">
        <v>106</v>
      </c>
      <c r="AU23" s="13" t="s">
        <v>107</v>
      </c>
      <c r="AV23" s="19" t="s">
        <v>108</v>
      </c>
      <c r="AW23" s="10"/>
      <c r="AX23" s="39" t="s">
        <v>117</v>
      </c>
      <c r="AY23" s="123" t="s">
        <v>104</v>
      </c>
      <c r="AZ23" s="123">
        <v>96</v>
      </c>
      <c r="BA23" s="123">
        <v>228</v>
      </c>
      <c r="BB23" s="18">
        <v>25</v>
      </c>
      <c r="BC23" s="18">
        <v>120</v>
      </c>
      <c r="BD23" s="18">
        <v>180</v>
      </c>
      <c r="BE23" s="18">
        <v>10</v>
      </c>
      <c r="BF23" s="18">
        <v>10</v>
      </c>
      <c r="BG23" s="18">
        <v>18</v>
      </c>
      <c r="BH23" s="18">
        <f>BG23-BF23</f>
        <v>8</v>
      </c>
      <c r="BI23" s="18">
        <v>1.5</v>
      </c>
      <c r="BJ23" s="18">
        <v>30</v>
      </c>
      <c r="BK23" s="18">
        <v>0.1</v>
      </c>
      <c r="BL23" s="18">
        <v>0.1</v>
      </c>
      <c r="BM23" s="18">
        <v>0.2</v>
      </c>
      <c r="BN23" s="22">
        <v>1</v>
      </c>
      <c r="BO23" s="22">
        <v>0.5</v>
      </c>
      <c r="BP23" s="123">
        <v>25</v>
      </c>
      <c r="BQ23" s="23">
        <v>12</v>
      </c>
      <c r="BR23" s="123">
        <v>17.5</v>
      </c>
      <c r="BS23" s="123" t="s">
        <v>106</v>
      </c>
      <c r="BT23" s="123" t="s">
        <v>107</v>
      </c>
      <c r="BU23" s="19" t="s">
        <v>108</v>
      </c>
      <c r="BV23" s="6"/>
      <c r="BW23" s="6"/>
      <c r="BX23" s="6"/>
      <c r="BY23" s="6"/>
      <c r="BZ23" s="6"/>
      <c r="CA23" s="6"/>
    </row>
    <row r="24" spans="1:79" ht="180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18">
        <v>0.1</v>
      </c>
      <c r="O24" s="18">
        <v>0.1</v>
      </c>
      <c r="P24" s="18">
        <v>0.2</v>
      </c>
      <c r="Q24" s="6"/>
      <c r="R24" s="6"/>
      <c r="S24" s="6"/>
      <c r="T24" s="6"/>
      <c r="U24" s="6"/>
      <c r="V24" s="6"/>
      <c r="W24" s="6"/>
      <c r="X24" s="6"/>
      <c r="Y24" s="12" t="s">
        <v>114</v>
      </c>
      <c r="Z24" s="13" t="s">
        <v>104</v>
      </c>
      <c r="AA24" s="13">
        <v>60</v>
      </c>
      <c r="AB24" s="13">
        <v>192</v>
      </c>
      <c r="AC24" s="18">
        <v>8</v>
      </c>
      <c r="AD24" s="18">
        <v>241</v>
      </c>
      <c r="AE24" s="13">
        <v>300</v>
      </c>
      <c r="AF24" s="18">
        <v>11</v>
      </c>
      <c r="AG24" s="18">
        <v>11</v>
      </c>
      <c r="AH24" s="18">
        <v>13</v>
      </c>
      <c r="AI24" s="18">
        <f t="shared" si="3"/>
        <v>2</v>
      </c>
      <c r="AJ24" s="18">
        <v>2</v>
      </c>
      <c r="AK24" s="22">
        <v>1.5</v>
      </c>
      <c r="AL24" s="22">
        <v>0</v>
      </c>
      <c r="AM24" s="18">
        <v>40</v>
      </c>
      <c r="AN24" s="18">
        <v>0.1</v>
      </c>
      <c r="AO24" s="18">
        <v>0.1</v>
      </c>
      <c r="AP24" s="18">
        <v>0.2</v>
      </c>
      <c r="AQ24" s="13">
        <v>30</v>
      </c>
      <c r="AR24" s="23">
        <v>15</v>
      </c>
      <c r="AS24" s="13">
        <v>17.5</v>
      </c>
      <c r="AT24" s="13" t="s">
        <v>106</v>
      </c>
      <c r="AU24" s="13" t="s">
        <v>107</v>
      </c>
      <c r="AV24" s="19" t="s">
        <v>108</v>
      </c>
      <c r="AW24" s="10"/>
      <c r="AX24" s="39" t="s">
        <v>117</v>
      </c>
      <c r="AY24" s="123" t="s">
        <v>104</v>
      </c>
      <c r="AZ24" s="123">
        <v>96</v>
      </c>
      <c r="BA24" s="123">
        <v>228</v>
      </c>
      <c r="BB24" s="18">
        <v>24</v>
      </c>
      <c r="BC24" s="18">
        <v>180</v>
      </c>
      <c r="BD24" s="18">
        <v>240</v>
      </c>
      <c r="BE24" s="18">
        <v>11</v>
      </c>
      <c r="BF24" s="18">
        <v>11</v>
      </c>
      <c r="BG24" s="18">
        <v>18</v>
      </c>
      <c r="BH24" s="18">
        <f t="shared" ref="BH24:BH36" si="4">BG24-BF24</f>
        <v>7</v>
      </c>
      <c r="BI24" s="18">
        <v>1.5</v>
      </c>
      <c r="BJ24" s="18">
        <v>35</v>
      </c>
      <c r="BK24" s="18">
        <v>0.1</v>
      </c>
      <c r="BL24" s="18">
        <v>0.1</v>
      </c>
      <c r="BM24" s="18">
        <v>0.2</v>
      </c>
      <c r="BN24" s="22">
        <v>1</v>
      </c>
      <c r="BO24" s="22">
        <v>0.5</v>
      </c>
      <c r="BP24" s="123">
        <v>30</v>
      </c>
      <c r="BQ24" s="23">
        <v>15</v>
      </c>
      <c r="BR24" s="123">
        <v>17.5</v>
      </c>
      <c r="BS24" s="123" t="s">
        <v>106</v>
      </c>
      <c r="BT24" s="123" t="s">
        <v>107</v>
      </c>
      <c r="BU24" s="19" t="s">
        <v>108</v>
      </c>
      <c r="BV24" s="6"/>
      <c r="BW24" s="6"/>
      <c r="BX24" s="6"/>
      <c r="BY24" s="6"/>
      <c r="BZ24" s="6"/>
      <c r="CA24" s="6"/>
    </row>
    <row r="25" spans="1:79" ht="180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18">
        <v>0.1</v>
      </c>
      <c r="O25" s="18">
        <v>0.1</v>
      </c>
      <c r="P25" s="18">
        <v>0.2</v>
      </c>
      <c r="Q25" s="6"/>
      <c r="R25" s="6"/>
      <c r="S25" s="6"/>
      <c r="T25" s="6"/>
      <c r="U25" s="6"/>
      <c r="V25" s="6"/>
      <c r="W25" s="6"/>
      <c r="X25" s="6"/>
      <c r="Y25" s="12" t="s">
        <v>114</v>
      </c>
      <c r="Z25" s="13" t="s">
        <v>104</v>
      </c>
      <c r="AA25" s="13">
        <v>60</v>
      </c>
      <c r="AB25" s="13">
        <v>192</v>
      </c>
      <c r="AC25" s="18">
        <v>7</v>
      </c>
      <c r="AD25" s="18">
        <v>241</v>
      </c>
      <c r="AE25" s="13">
        <v>300</v>
      </c>
      <c r="AF25" s="18">
        <v>12</v>
      </c>
      <c r="AG25" s="18">
        <v>12</v>
      </c>
      <c r="AH25" s="18">
        <v>13</v>
      </c>
      <c r="AI25" s="18">
        <f t="shared" si="3"/>
        <v>1</v>
      </c>
      <c r="AJ25" s="18">
        <v>2</v>
      </c>
      <c r="AK25" s="22">
        <v>1.5</v>
      </c>
      <c r="AL25" s="22">
        <v>0</v>
      </c>
      <c r="AM25" s="18">
        <v>40</v>
      </c>
      <c r="AN25" s="18">
        <v>0.1</v>
      </c>
      <c r="AO25" s="18">
        <v>0.1</v>
      </c>
      <c r="AP25" s="18">
        <v>0.2</v>
      </c>
      <c r="AQ25" s="13">
        <v>30</v>
      </c>
      <c r="AR25" s="23">
        <v>15</v>
      </c>
      <c r="AS25" s="13">
        <v>17.5</v>
      </c>
      <c r="AT25" s="13" t="s">
        <v>106</v>
      </c>
      <c r="AU25" s="13" t="s">
        <v>107</v>
      </c>
      <c r="AV25" s="19" t="s">
        <v>108</v>
      </c>
      <c r="AW25" s="10"/>
      <c r="AX25" s="39" t="s">
        <v>117</v>
      </c>
      <c r="AY25" s="123" t="s">
        <v>104</v>
      </c>
      <c r="AZ25" s="123">
        <v>96</v>
      </c>
      <c r="BA25" s="123">
        <v>228</v>
      </c>
      <c r="BB25" s="18">
        <v>23</v>
      </c>
      <c r="BC25" s="18">
        <v>241</v>
      </c>
      <c r="BD25" s="18">
        <v>300</v>
      </c>
      <c r="BE25" s="18">
        <v>12</v>
      </c>
      <c r="BF25" s="18">
        <v>12</v>
      </c>
      <c r="BG25" s="18">
        <v>18</v>
      </c>
      <c r="BH25" s="18">
        <f t="shared" si="4"/>
        <v>6</v>
      </c>
      <c r="BI25" s="18">
        <v>2</v>
      </c>
      <c r="BJ25" s="18">
        <v>40</v>
      </c>
      <c r="BK25" s="18">
        <v>0.1</v>
      </c>
      <c r="BL25" s="18">
        <v>0.1</v>
      </c>
      <c r="BM25" s="18">
        <v>0.2</v>
      </c>
      <c r="BN25" s="22">
        <v>1</v>
      </c>
      <c r="BO25" s="22">
        <v>1</v>
      </c>
      <c r="BP25" s="123">
        <v>36</v>
      </c>
      <c r="BQ25" s="23">
        <v>18</v>
      </c>
      <c r="BR25" s="123">
        <v>17.5</v>
      </c>
      <c r="BS25" s="123" t="s">
        <v>106</v>
      </c>
      <c r="BT25" s="123" t="s">
        <v>107</v>
      </c>
      <c r="BU25" s="19" t="s">
        <v>108</v>
      </c>
      <c r="BV25" s="6"/>
      <c r="BW25" s="6"/>
      <c r="BX25" s="6"/>
      <c r="BY25" s="6"/>
      <c r="BZ25" s="6"/>
      <c r="CA25" s="6"/>
    </row>
    <row r="26" spans="1:79" ht="180.75" thickBo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18">
        <v>0.1</v>
      </c>
      <c r="O26" s="18">
        <v>0.1</v>
      </c>
      <c r="P26" s="18">
        <v>0.2</v>
      </c>
      <c r="Q26" s="6"/>
      <c r="R26" s="6"/>
      <c r="S26" s="6"/>
      <c r="T26" s="6"/>
      <c r="U26" s="6"/>
      <c r="V26" s="6"/>
      <c r="W26" s="6"/>
      <c r="X26" s="6"/>
      <c r="Y26" s="27" t="s">
        <v>114</v>
      </c>
      <c r="Z26" s="28" t="s">
        <v>104</v>
      </c>
      <c r="AA26" s="28">
        <v>60</v>
      </c>
      <c r="AB26" s="28">
        <v>192</v>
      </c>
      <c r="AC26" s="29">
        <v>6</v>
      </c>
      <c r="AD26" s="29">
        <v>241</v>
      </c>
      <c r="AE26" s="28">
        <v>300</v>
      </c>
      <c r="AF26" s="29">
        <v>12</v>
      </c>
      <c r="AG26" s="29">
        <v>12</v>
      </c>
      <c r="AH26" s="29">
        <v>13</v>
      </c>
      <c r="AI26" s="18">
        <f t="shared" si="3"/>
        <v>1</v>
      </c>
      <c r="AJ26" s="29">
        <v>2</v>
      </c>
      <c r="AK26" s="22">
        <v>1.5</v>
      </c>
      <c r="AL26" s="22">
        <v>0</v>
      </c>
      <c r="AM26" s="29">
        <v>40</v>
      </c>
      <c r="AN26" s="18">
        <v>0.1</v>
      </c>
      <c r="AO26" s="18">
        <v>0.1</v>
      </c>
      <c r="AP26" s="18">
        <v>0.2</v>
      </c>
      <c r="AQ26" s="28">
        <v>30</v>
      </c>
      <c r="AR26" s="36">
        <v>15</v>
      </c>
      <c r="AS26" s="28">
        <v>17.5</v>
      </c>
      <c r="AT26" s="28" t="s">
        <v>106</v>
      </c>
      <c r="AU26" s="28" t="s">
        <v>107</v>
      </c>
      <c r="AV26" s="30" t="s">
        <v>108</v>
      </c>
      <c r="AW26" s="10"/>
      <c r="AX26" s="39" t="s">
        <v>117</v>
      </c>
      <c r="AY26" s="123" t="s">
        <v>104</v>
      </c>
      <c r="AZ26" s="123">
        <v>96</v>
      </c>
      <c r="BA26" s="123">
        <v>228</v>
      </c>
      <c r="BB26" s="18">
        <v>22</v>
      </c>
      <c r="BC26" s="18">
        <v>241</v>
      </c>
      <c r="BD26" s="18">
        <v>300</v>
      </c>
      <c r="BE26" s="18">
        <v>13</v>
      </c>
      <c r="BF26" s="18">
        <v>13</v>
      </c>
      <c r="BG26" s="18">
        <v>18</v>
      </c>
      <c r="BH26" s="18">
        <f t="shared" si="4"/>
        <v>5</v>
      </c>
      <c r="BI26" s="18">
        <v>2</v>
      </c>
      <c r="BJ26" s="18">
        <v>40</v>
      </c>
      <c r="BK26" s="18">
        <v>0.1</v>
      </c>
      <c r="BL26" s="18">
        <v>0.1</v>
      </c>
      <c r="BM26" s="18">
        <v>0.2</v>
      </c>
      <c r="BN26" s="22">
        <v>1</v>
      </c>
      <c r="BO26" s="22">
        <v>1</v>
      </c>
      <c r="BP26" s="123">
        <v>36</v>
      </c>
      <c r="BQ26" s="23">
        <v>18</v>
      </c>
      <c r="BR26" s="123">
        <v>17.5</v>
      </c>
      <c r="BS26" s="123" t="s">
        <v>106</v>
      </c>
      <c r="BT26" s="123" t="s">
        <v>107</v>
      </c>
      <c r="BU26" s="19" t="s">
        <v>108</v>
      </c>
      <c r="BV26" s="6"/>
      <c r="BW26" s="6"/>
      <c r="BX26" s="6"/>
      <c r="BY26" s="6"/>
      <c r="BZ26" s="6"/>
      <c r="CA26" s="6"/>
    </row>
    <row r="27" spans="1:79" ht="180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42"/>
      <c r="O27" s="42"/>
      <c r="P27" s="42"/>
      <c r="Q27" s="6"/>
      <c r="R27" s="6"/>
      <c r="S27" s="6"/>
      <c r="T27" s="6"/>
      <c r="U27" s="6"/>
      <c r="V27" s="6"/>
      <c r="W27" s="6"/>
      <c r="X27" s="6"/>
      <c r="Y27" s="6"/>
      <c r="Z27" s="6"/>
      <c r="AA27" s="10"/>
      <c r="AB27" s="10"/>
      <c r="AC27" s="6"/>
      <c r="AD27" s="6"/>
      <c r="AE27" s="6"/>
      <c r="AF27" s="6"/>
      <c r="AG27" s="6"/>
      <c r="AH27" s="6"/>
      <c r="AI27" s="6"/>
      <c r="AJ27" s="6"/>
      <c r="AK27" s="6"/>
      <c r="AL27" s="42"/>
      <c r="AM27" s="6"/>
      <c r="AN27" s="42"/>
      <c r="AO27" s="42"/>
      <c r="AP27" s="42"/>
      <c r="AQ27" s="6"/>
      <c r="AR27" s="10"/>
      <c r="AS27" s="10"/>
      <c r="AT27" s="10"/>
      <c r="AU27" s="10"/>
      <c r="AV27" s="10"/>
      <c r="AW27" s="10"/>
      <c r="AX27" s="39" t="s">
        <v>117</v>
      </c>
      <c r="AY27" s="123" t="s">
        <v>104</v>
      </c>
      <c r="AZ27" s="123">
        <v>96</v>
      </c>
      <c r="BA27" s="123">
        <v>228</v>
      </c>
      <c r="BB27" s="18">
        <v>21</v>
      </c>
      <c r="BC27" s="18">
        <v>241</v>
      </c>
      <c r="BD27" s="18">
        <v>300</v>
      </c>
      <c r="BE27" s="18">
        <v>14</v>
      </c>
      <c r="BF27" s="18">
        <v>14</v>
      </c>
      <c r="BG27" s="18">
        <v>18</v>
      </c>
      <c r="BH27" s="18">
        <f t="shared" si="4"/>
        <v>4</v>
      </c>
      <c r="BI27" s="18">
        <v>2</v>
      </c>
      <c r="BJ27" s="18">
        <v>40</v>
      </c>
      <c r="BK27" s="18">
        <v>0.1</v>
      </c>
      <c r="BL27" s="18">
        <v>0.1</v>
      </c>
      <c r="BM27" s="18">
        <v>0.2</v>
      </c>
      <c r="BN27" s="22">
        <v>1</v>
      </c>
      <c r="BO27" s="22">
        <v>1</v>
      </c>
      <c r="BP27" s="123">
        <v>36</v>
      </c>
      <c r="BQ27" s="23">
        <v>18</v>
      </c>
      <c r="BR27" s="123">
        <v>17.5</v>
      </c>
      <c r="BS27" s="123" t="s">
        <v>106</v>
      </c>
      <c r="BT27" s="123" t="s">
        <v>107</v>
      </c>
      <c r="BU27" s="19" t="s">
        <v>108</v>
      </c>
      <c r="BV27" s="6"/>
      <c r="BW27" s="6"/>
      <c r="BX27" s="6"/>
      <c r="BY27" s="6"/>
      <c r="BZ27" s="6"/>
      <c r="CA27" s="6"/>
    </row>
    <row r="28" spans="1:79" ht="180.75" thickBo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42"/>
      <c r="O28" s="42"/>
      <c r="P28" s="42"/>
      <c r="Q28" s="6"/>
      <c r="R28" s="6"/>
      <c r="S28" s="6"/>
      <c r="T28" s="6"/>
      <c r="U28" s="6"/>
      <c r="V28" s="6"/>
      <c r="W28" s="6"/>
      <c r="X28" s="6"/>
      <c r="Y28" s="6"/>
      <c r="Z28" s="6"/>
      <c r="AA28" s="10"/>
      <c r="AB28" s="10"/>
      <c r="AC28" s="6"/>
      <c r="AD28" s="6"/>
      <c r="AE28" s="6"/>
      <c r="AF28" s="6"/>
      <c r="AG28" s="6"/>
      <c r="AH28" s="6"/>
      <c r="AI28" s="6"/>
      <c r="AJ28" s="6"/>
      <c r="AK28" s="6"/>
      <c r="AL28" s="42"/>
      <c r="AM28" s="6"/>
      <c r="AN28" s="42"/>
      <c r="AO28" s="42"/>
      <c r="AP28" s="42"/>
      <c r="AQ28" s="6"/>
      <c r="AR28" s="10"/>
      <c r="AS28" s="10"/>
      <c r="AT28" s="10"/>
      <c r="AU28" s="10"/>
      <c r="AV28" s="10"/>
      <c r="AW28" s="10"/>
      <c r="AX28" s="39" t="s">
        <v>117</v>
      </c>
      <c r="AY28" s="123" t="s">
        <v>104</v>
      </c>
      <c r="AZ28" s="123">
        <v>96</v>
      </c>
      <c r="BA28" s="123">
        <v>228</v>
      </c>
      <c r="BB28" s="18">
        <v>20</v>
      </c>
      <c r="BC28" s="18">
        <v>241</v>
      </c>
      <c r="BD28" s="18">
        <v>300</v>
      </c>
      <c r="BE28" s="18">
        <v>15</v>
      </c>
      <c r="BF28" s="18">
        <v>15</v>
      </c>
      <c r="BG28" s="18">
        <v>18</v>
      </c>
      <c r="BH28" s="18">
        <f t="shared" si="4"/>
        <v>3</v>
      </c>
      <c r="BI28" s="18">
        <v>2</v>
      </c>
      <c r="BJ28" s="18">
        <v>40</v>
      </c>
      <c r="BK28" s="18">
        <v>0.1</v>
      </c>
      <c r="BL28" s="18">
        <v>0.1</v>
      </c>
      <c r="BM28" s="18">
        <v>0.2</v>
      </c>
      <c r="BN28" s="22">
        <v>1</v>
      </c>
      <c r="BO28" s="22">
        <v>1</v>
      </c>
      <c r="BP28" s="123">
        <v>36</v>
      </c>
      <c r="BQ28" s="23">
        <v>18</v>
      </c>
      <c r="BR28" s="123">
        <v>17.5</v>
      </c>
      <c r="BS28" s="123" t="s">
        <v>106</v>
      </c>
      <c r="BT28" s="123" t="s">
        <v>107</v>
      </c>
      <c r="BU28" s="19" t="s">
        <v>108</v>
      </c>
      <c r="BV28" s="6"/>
      <c r="BW28" s="6"/>
      <c r="BX28" s="6"/>
      <c r="BY28" s="6"/>
      <c r="BZ28" s="6"/>
      <c r="CA28" s="6"/>
    </row>
    <row r="29" spans="1:79" ht="180.75" thickBo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42"/>
      <c r="O29" s="42"/>
      <c r="P29" s="42"/>
      <c r="Q29" s="6"/>
      <c r="R29" s="6"/>
      <c r="S29" s="6"/>
      <c r="T29" s="6"/>
      <c r="U29" s="6"/>
      <c r="V29" s="6"/>
      <c r="W29" s="6"/>
      <c r="X29" s="6"/>
      <c r="Y29" s="140" t="s">
        <v>118</v>
      </c>
      <c r="Z29" s="141"/>
      <c r="AA29" s="141"/>
      <c r="AB29" s="141"/>
      <c r="AC29" s="141"/>
      <c r="AD29" s="141"/>
      <c r="AE29" s="141"/>
      <c r="AF29" s="141"/>
      <c r="AG29" s="141"/>
      <c r="AH29" s="141"/>
      <c r="AI29" s="141"/>
      <c r="AJ29" s="141"/>
      <c r="AK29" s="141"/>
      <c r="AL29" s="141"/>
      <c r="AM29" s="141"/>
      <c r="AN29" s="141"/>
      <c r="AO29" s="141"/>
      <c r="AP29" s="141"/>
      <c r="AQ29" s="141"/>
      <c r="AR29" s="141"/>
      <c r="AS29" s="141"/>
      <c r="AT29" s="141"/>
      <c r="AU29" s="141"/>
      <c r="AV29" s="142"/>
      <c r="AW29" s="10"/>
      <c r="AX29" s="39" t="s">
        <v>117</v>
      </c>
      <c r="AY29" s="123" t="s">
        <v>104</v>
      </c>
      <c r="AZ29" s="123">
        <v>96</v>
      </c>
      <c r="BA29" s="123">
        <v>228</v>
      </c>
      <c r="BB29" s="18">
        <v>19</v>
      </c>
      <c r="BC29" s="18">
        <v>241</v>
      </c>
      <c r="BD29" s="18">
        <v>300</v>
      </c>
      <c r="BE29" s="18">
        <v>16</v>
      </c>
      <c r="BF29" s="18">
        <v>16</v>
      </c>
      <c r="BG29" s="18">
        <v>18</v>
      </c>
      <c r="BH29" s="18">
        <f t="shared" si="4"/>
        <v>2</v>
      </c>
      <c r="BI29" s="18">
        <v>2</v>
      </c>
      <c r="BJ29" s="18">
        <v>40</v>
      </c>
      <c r="BK29" s="18">
        <v>0.1</v>
      </c>
      <c r="BL29" s="18">
        <v>0.1</v>
      </c>
      <c r="BM29" s="18">
        <v>0.2</v>
      </c>
      <c r="BN29" s="22">
        <v>1</v>
      </c>
      <c r="BO29" s="22">
        <v>1</v>
      </c>
      <c r="BP29" s="123">
        <v>36</v>
      </c>
      <c r="BQ29" s="23">
        <v>18</v>
      </c>
      <c r="BR29" s="123">
        <v>17.5</v>
      </c>
      <c r="BS29" s="123" t="s">
        <v>106</v>
      </c>
      <c r="BT29" s="123" t="s">
        <v>107</v>
      </c>
      <c r="BU29" s="19" t="s">
        <v>108</v>
      </c>
      <c r="BV29" s="6"/>
      <c r="BW29" s="6"/>
      <c r="BX29" s="6"/>
      <c r="BY29" s="6"/>
      <c r="BZ29" s="6"/>
      <c r="CA29" s="6"/>
    </row>
    <row r="30" spans="1:79" ht="180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42"/>
      <c r="O30" s="42"/>
      <c r="P30" s="42"/>
      <c r="Q30" s="6"/>
      <c r="R30" s="6"/>
      <c r="S30" s="6"/>
      <c r="T30" s="6"/>
      <c r="U30" s="6"/>
      <c r="V30" s="6"/>
      <c r="W30" s="6"/>
      <c r="X30" s="6"/>
      <c r="Y30" s="12" t="s">
        <v>97</v>
      </c>
      <c r="Z30" s="13" t="s">
        <v>78</v>
      </c>
      <c r="AA30" s="13" t="s">
        <v>79</v>
      </c>
      <c r="AB30" s="13" t="s">
        <v>80</v>
      </c>
      <c r="AC30" s="14" t="s">
        <v>98</v>
      </c>
      <c r="AD30" s="14" t="s">
        <v>82</v>
      </c>
      <c r="AE30" s="14" t="s">
        <v>83</v>
      </c>
      <c r="AF30" s="14" t="s">
        <v>84</v>
      </c>
      <c r="AG30" s="14" t="s">
        <v>85</v>
      </c>
      <c r="AH30" s="14" t="s">
        <v>119</v>
      </c>
      <c r="AI30" s="15" t="s">
        <v>87</v>
      </c>
      <c r="AJ30" s="14" t="s">
        <v>101</v>
      </c>
      <c r="AK30" s="14" t="s">
        <v>169</v>
      </c>
      <c r="AL30" s="14" t="s">
        <v>170</v>
      </c>
      <c r="AM30" s="14" t="s">
        <v>89</v>
      </c>
      <c r="AN30" s="66" t="s">
        <v>143</v>
      </c>
      <c r="AO30" s="66" t="s">
        <v>144</v>
      </c>
      <c r="AP30" s="66" t="s">
        <v>145</v>
      </c>
      <c r="AQ30" s="13" t="s">
        <v>91</v>
      </c>
      <c r="AR30" s="13" t="s">
        <v>92</v>
      </c>
      <c r="AS30" s="16" t="s">
        <v>93</v>
      </c>
      <c r="AT30" s="16" t="s">
        <v>94</v>
      </c>
      <c r="AU30" s="40" t="s">
        <v>95</v>
      </c>
      <c r="AV30" s="17" t="s">
        <v>96</v>
      </c>
      <c r="AW30" s="10"/>
      <c r="AX30" s="39" t="s">
        <v>117</v>
      </c>
      <c r="AY30" s="123" t="s">
        <v>104</v>
      </c>
      <c r="AZ30" s="123">
        <v>96</v>
      </c>
      <c r="BA30" s="123">
        <v>228</v>
      </c>
      <c r="BB30" s="18">
        <v>18</v>
      </c>
      <c r="BC30" s="18">
        <v>241</v>
      </c>
      <c r="BD30" s="18">
        <v>300</v>
      </c>
      <c r="BE30" s="18">
        <v>17</v>
      </c>
      <c r="BF30" s="18">
        <v>17</v>
      </c>
      <c r="BG30" s="18">
        <v>18</v>
      </c>
      <c r="BH30" s="18">
        <f t="shared" si="4"/>
        <v>1</v>
      </c>
      <c r="BI30" s="18">
        <v>2</v>
      </c>
      <c r="BJ30" s="18">
        <v>40</v>
      </c>
      <c r="BK30" s="18">
        <v>0.1</v>
      </c>
      <c r="BL30" s="18">
        <v>0.1</v>
      </c>
      <c r="BM30" s="18">
        <v>0.2</v>
      </c>
      <c r="BN30" s="22">
        <v>1</v>
      </c>
      <c r="BO30" s="22">
        <v>1</v>
      </c>
      <c r="BP30" s="123">
        <v>36</v>
      </c>
      <c r="BQ30" s="23">
        <v>18</v>
      </c>
      <c r="BR30" s="123">
        <v>17.5</v>
      </c>
      <c r="BS30" s="123" t="s">
        <v>106</v>
      </c>
      <c r="BT30" s="123" t="s">
        <v>107</v>
      </c>
      <c r="BU30" s="19" t="s">
        <v>108</v>
      </c>
      <c r="BV30" s="6"/>
      <c r="BW30" s="6"/>
      <c r="BX30" s="6"/>
      <c r="BY30" s="6"/>
      <c r="BZ30" s="6"/>
      <c r="CA30" s="6"/>
    </row>
    <row r="31" spans="1:79" ht="180.75" thickBo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42"/>
      <c r="O31" s="42"/>
      <c r="P31" s="42"/>
      <c r="Q31" s="6"/>
      <c r="R31" s="6"/>
      <c r="S31" s="6"/>
      <c r="T31" s="6"/>
      <c r="U31" s="6"/>
      <c r="V31" s="6"/>
      <c r="W31" s="6"/>
      <c r="X31" s="6"/>
      <c r="Y31" s="12" t="s">
        <v>120</v>
      </c>
      <c r="Z31" s="13" t="s">
        <v>104</v>
      </c>
      <c r="AA31" s="13">
        <v>60</v>
      </c>
      <c r="AB31" s="13">
        <v>192</v>
      </c>
      <c r="AC31" s="18">
        <v>15</v>
      </c>
      <c r="AD31" s="18">
        <v>60</v>
      </c>
      <c r="AE31" s="13">
        <v>120</v>
      </c>
      <c r="AF31" s="18">
        <v>4</v>
      </c>
      <c r="AG31" s="18">
        <v>4</v>
      </c>
      <c r="AH31" s="18">
        <v>17</v>
      </c>
      <c r="AI31" s="18">
        <f>AH31-AG31</f>
        <v>13</v>
      </c>
      <c r="AJ31" s="18">
        <v>1.5</v>
      </c>
      <c r="AK31" s="22">
        <v>1</v>
      </c>
      <c r="AL31" s="35">
        <v>0</v>
      </c>
      <c r="AM31" s="18">
        <v>25</v>
      </c>
      <c r="AN31" s="18">
        <v>0.1</v>
      </c>
      <c r="AO31" s="18">
        <v>0.1</v>
      </c>
      <c r="AP31" s="18">
        <v>0.2</v>
      </c>
      <c r="AQ31" s="13">
        <v>20</v>
      </c>
      <c r="AR31" s="13">
        <v>10</v>
      </c>
      <c r="AS31" s="13">
        <v>17.5</v>
      </c>
      <c r="AT31" s="13" t="s">
        <v>106</v>
      </c>
      <c r="AU31" s="13" t="s">
        <v>107</v>
      </c>
      <c r="AV31" s="19" t="s">
        <v>108</v>
      </c>
      <c r="AW31" s="10"/>
      <c r="AX31" s="39" t="s">
        <v>117</v>
      </c>
      <c r="AY31" s="123" t="s">
        <v>104</v>
      </c>
      <c r="AZ31" s="123">
        <v>96</v>
      </c>
      <c r="BA31" s="123">
        <v>228</v>
      </c>
      <c r="BB31" s="32">
        <v>17</v>
      </c>
      <c r="BC31" s="18">
        <v>241</v>
      </c>
      <c r="BD31" s="18">
        <v>300</v>
      </c>
      <c r="BE31" s="32">
        <v>18</v>
      </c>
      <c r="BF31" s="32">
        <v>18</v>
      </c>
      <c r="BG31" s="32">
        <v>18</v>
      </c>
      <c r="BH31" s="32">
        <f t="shared" si="4"/>
        <v>0</v>
      </c>
      <c r="BI31" s="18">
        <v>2</v>
      </c>
      <c r="BJ31" s="18">
        <v>40</v>
      </c>
      <c r="BK31" s="18">
        <v>0.1</v>
      </c>
      <c r="BL31" s="18">
        <v>0.1</v>
      </c>
      <c r="BM31" s="18">
        <v>0.2</v>
      </c>
      <c r="BN31" s="22">
        <v>1</v>
      </c>
      <c r="BO31" s="22">
        <v>1</v>
      </c>
      <c r="BP31" s="123">
        <v>36</v>
      </c>
      <c r="BQ31" s="23">
        <v>18</v>
      </c>
      <c r="BR31" s="123">
        <v>17.5</v>
      </c>
      <c r="BS31" s="123" t="s">
        <v>106</v>
      </c>
      <c r="BT31" s="123" t="s">
        <v>107</v>
      </c>
      <c r="BU31" s="19" t="s">
        <v>108</v>
      </c>
      <c r="BV31" s="6"/>
      <c r="BW31" s="6"/>
      <c r="BX31" s="6"/>
      <c r="BY31" s="6"/>
      <c r="BZ31" s="6"/>
      <c r="CA31" s="6"/>
    </row>
    <row r="32" spans="1:79" ht="180.75" thickBo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42"/>
      <c r="O32" s="42"/>
      <c r="P32" s="42"/>
      <c r="Q32" s="6"/>
      <c r="R32" s="6"/>
      <c r="S32" s="6"/>
      <c r="T32" s="6"/>
      <c r="U32" s="6"/>
      <c r="V32" s="6"/>
      <c r="W32" s="6"/>
      <c r="X32" s="6"/>
      <c r="Y32" s="12" t="s">
        <v>120</v>
      </c>
      <c r="Z32" s="13" t="s">
        <v>104</v>
      </c>
      <c r="AA32" s="13">
        <v>60</v>
      </c>
      <c r="AB32" s="13">
        <v>192</v>
      </c>
      <c r="AC32" s="18">
        <v>14</v>
      </c>
      <c r="AD32" s="18">
        <v>121</v>
      </c>
      <c r="AE32" s="13">
        <v>180</v>
      </c>
      <c r="AF32" s="18">
        <v>5</v>
      </c>
      <c r="AG32" s="18">
        <v>5</v>
      </c>
      <c r="AH32" s="18">
        <v>17</v>
      </c>
      <c r="AI32" s="18">
        <f t="shared" ref="AI32:AI40" si="5">AH32-AG32</f>
        <v>12</v>
      </c>
      <c r="AJ32" s="18">
        <v>1.5</v>
      </c>
      <c r="AK32" s="22">
        <v>1.5</v>
      </c>
      <c r="AL32" s="35">
        <v>0</v>
      </c>
      <c r="AM32" s="18">
        <v>30</v>
      </c>
      <c r="AN32" s="18">
        <v>0.1</v>
      </c>
      <c r="AO32" s="18">
        <v>0.1</v>
      </c>
      <c r="AP32" s="18">
        <v>0.2</v>
      </c>
      <c r="AQ32" s="13">
        <v>25</v>
      </c>
      <c r="AR32" s="23">
        <v>12</v>
      </c>
      <c r="AS32" s="13">
        <v>17.5</v>
      </c>
      <c r="AT32" s="13" t="s">
        <v>106</v>
      </c>
      <c r="AU32" s="13" t="s">
        <v>107</v>
      </c>
      <c r="AV32" s="19" t="s">
        <v>108</v>
      </c>
      <c r="AW32" s="10"/>
      <c r="AX32" s="39" t="s">
        <v>117</v>
      </c>
      <c r="AY32" s="123" t="s">
        <v>104</v>
      </c>
      <c r="AZ32" s="123">
        <v>96</v>
      </c>
      <c r="BA32" s="123">
        <v>228</v>
      </c>
      <c r="BB32" s="18">
        <v>16</v>
      </c>
      <c r="BC32" s="18">
        <v>241</v>
      </c>
      <c r="BD32" s="18">
        <v>300</v>
      </c>
      <c r="BE32" s="25">
        <v>19</v>
      </c>
      <c r="BF32" s="25">
        <v>19</v>
      </c>
      <c r="BG32" s="25">
        <v>18</v>
      </c>
      <c r="BH32" s="25">
        <f t="shared" si="4"/>
        <v>-1</v>
      </c>
      <c r="BI32" s="18">
        <v>2</v>
      </c>
      <c r="BJ32" s="18">
        <v>40</v>
      </c>
      <c r="BK32" s="18">
        <v>0.1</v>
      </c>
      <c r="BL32" s="18">
        <v>0.1</v>
      </c>
      <c r="BM32" s="18">
        <v>0.2</v>
      </c>
      <c r="BN32" s="22">
        <v>1</v>
      </c>
      <c r="BO32" s="22">
        <v>1</v>
      </c>
      <c r="BP32" s="123">
        <v>36</v>
      </c>
      <c r="BQ32" s="23">
        <v>18</v>
      </c>
      <c r="BR32" s="123">
        <v>17.5</v>
      </c>
      <c r="BS32" s="123" t="s">
        <v>106</v>
      </c>
      <c r="BT32" s="123" t="s">
        <v>107</v>
      </c>
      <c r="BU32" s="19" t="s">
        <v>108</v>
      </c>
      <c r="BV32" s="6"/>
      <c r="BW32" s="6"/>
      <c r="BX32" s="6"/>
      <c r="BY32" s="6"/>
      <c r="BZ32" s="6"/>
      <c r="CA32" s="6"/>
    </row>
    <row r="33" spans="1:79" ht="180.75" thickBo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42"/>
      <c r="O33" s="42"/>
      <c r="P33" s="42"/>
      <c r="Q33" s="6"/>
      <c r="R33" s="6"/>
      <c r="S33" s="6"/>
      <c r="T33" s="6"/>
      <c r="U33" s="6"/>
      <c r="V33" s="6"/>
      <c r="W33" s="6"/>
      <c r="X33" s="6"/>
      <c r="Y33" s="12" t="s">
        <v>120</v>
      </c>
      <c r="Z33" s="13" t="s">
        <v>104</v>
      </c>
      <c r="AA33" s="13">
        <v>60</v>
      </c>
      <c r="AB33" s="13">
        <v>192</v>
      </c>
      <c r="AC33" s="18">
        <v>13</v>
      </c>
      <c r="AD33" s="18">
        <v>181</v>
      </c>
      <c r="AE33" s="13">
        <v>240</v>
      </c>
      <c r="AF33" s="18">
        <v>6</v>
      </c>
      <c r="AG33" s="18">
        <v>6</v>
      </c>
      <c r="AH33" s="18">
        <v>17</v>
      </c>
      <c r="AI33" s="18">
        <f t="shared" si="5"/>
        <v>11</v>
      </c>
      <c r="AJ33" s="18">
        <v>2</v>
      </c>
      <c r="AK33" s="22">
        <v>1.5</v>
      </c>
      <c r="AL33" s="35">
        <v>0</v>
      </c>
      <c r="AM33" s="18">
        <v>40</v>
      </c>
      <c r="AN33" s="18">
        <v>0.1</v>
      </c>
      <c r="AO33" s="18">
        <v>0.1</v>
      </c>
      <c r="AP33" s="18">
        <v>0.2</v>
      </c>
      <c r="AQ33" s="13">
        <v>30</v>
      </c>
      <c r="AR33" s="23">
        <v>15</v>
      </c>
      <c r="AS33" s="13">
        <v>17.5</v>
      </c>
      <c r="AT33" s="13" t="s">
        <v>106</v>
      </c>
      <c r="AU33" s="13" t="s">
        <v>107</v>
      </c>
      <c r="AV33" s="19" t="s">
        <v>108</v>
      </c>
      <c r="AW33" s="10"/>
      <c r="AX33" s="39" t="s">
        <v>117</v>
      </c>
      <c r="AY33" s="123" t="s">
        <v>104</v>
      </c>
      <c r="AZ33" s="123">
        <v>96</v>
      </c>
      <c r="BA33" s="123">
        <v>228</v>
      </c>
      <c r="BB33" s="18">
        <v>15</v>
      </c>
      <c r="BC33" s="18">
        <v>241</v>
      </c>
      <c r="BD33" s="18">
        <v>300</v>
      </c>
      <c r="BE33" s="25">
        <v>20</v>
      </c>
      <c r="BF33" s="25">
        <v>20</v>
      </c>
      <c r="BG33" s="25">
        <v>18</v>
      </c>
      <c r="BH33" s="25">
        <f t="shared" si="4"/>
        <v>-2</v>
      </c>
      <c r="BI33" s="18">
        <v>2</v>
      </c>
      <c r="BJ33" s="18">
        <v>40</v>
      </c>
      <c r="BK33" s="18">
        <v>0.1</v>
      </c>
      <c r="BL33" s="18">
        <v>0.1</v>
      </c>
      <c r="BM33" s="18">
        <v>0.2</v>
      </c>
      <c r="BN33" s="22">
        <v>1</v>
      </c>
      <c r="BO33" s="22">
        <v>1</v>
      </c>
      <c r="BP33" s="123">
        <v>36</v>
      </c>
      <c r="BQ33" s="23">
        <v>18</v>
      </c>
      <c r="BR33" s="123">
        <v>17.5</v>
      </c>
      <c r="BS33" s="123" t="s">
        <v>106</v>
      </c>
      <c r="BT33" s="123" t="s">
        <v>107</v>
      </c>
      <c r="BU33" s="19" t="s">
        <v>108</v>
      </c>
      <c r="BV33" s="6"/>
      <c r="BW33" s="6"/>
      <c r="BX33" s="6"/>
      <c r="BY33" s="6"/>
      <c r="BZ33" s="6"/>
      <c r="CA33" s="6"/>
    </row>
    <row r="34" spans="1:79" ht="180.75" thickBo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42"/>
      <c r="O34" s="42"/>
      <c r="P34" s="42"/>
      <c r="Q34" s="6"/>
      <c r="R34" s="6"/>
      <c r="S34" s="6"/>
      <c r="T34" s="6"/>
      <c r="U34" s="6"/>
      <c r="V34" s="6"/>
      <c r="W34" s="6"/>
      <c r="X34" s="6"/>
      <c r="Y34" s="12" t="s">
        <v>120</v>
      </c>
      <c r="Z34" s="13" t="s">
        <v>104</v>
      </c>
      <c r="AA34" s="13">
        <v>60</v>
      </c>
      <c r="AB34" s="13">
        <v>192</v>
      </c>
      <c r="AC34" s="18">
        <v>12</v>
      </c>
      <c r="AD34" s="18">
        <v>241</v>
      </c>
      <c r="AE34" s="13">
        <v>300</v>
      </c>
      <c r="AF34" s="18">
        <v>7</v>
      </c>
      <c r="AG34" s="18">
        <v>7</v>
      </c>
      <c r="AH34" s="18">
        <v>17</v>
      </c>
      <c r="AI34" s="18">
        <f t="shared" si="5"/>
        <v>10</v>
      </c>
      <c r="AJ34" s="18">
        <v>2</v>
      </c>
      <c r="AK34" s="22">
        <v>1.5</v>
      </c>
      <c r="AL34" s="35">
        <v>0</v>
      </c>
      <c r="AM34" s="18">
        <v>40</v>
      </c>
      <c r="AN34" s="18">
        <v>0.1</v>
      </c>
      <c r="AO34" s="18">
        <v>0.1</v>
      </c>
      <c r="AP34" s="18">
        <v>0.2</v>
      </c>
      <c r="AQ34" s="13">
        <v>30</v>
      </c>
      <c r="AR34" s="23">
        <v>15</v>
      </c>
      <c r="AS34" s="13">
        <v>17.5</v>
      </c>
      <c r="AT34" s="13" t="s">
        <v>106</v>
      </c>
      <c r="AU34" s="13" t="s">
        <v>107</v>
      </c>
      <c r="AV34" s="19" t="s">
        <v>108</v>
      </c>
      <c r="AW34" s="10"/>
      <c r="AX34" s="39" t="s">
        <v>117</v>
      </c>
      <c r="AY34" s="123" t="s">
        <v>104</v>
      </c>
      <c r="AZ34" s="123">
        <v>96</v>
      </c>
      <c r="BA34" s="123">
        <v>228</v>
      </c>
      <c r="BB34" s="18">
        <v>14</v>
      </c>
      <c r="BC34" s="18">
        <v>241</v>
      </c>
      <c r="BD34" s="18">
        <v>300</v>
      </c>
      <c r="BE34" s="25">
        <v>21</v>
      </c>
      <c r="BF34" s="25">
        <v>21</v>
      </c>
      <c r="BG34" s="25">
        <v>18</v>
      </c>
      <c r="BH34" s="25">
        <f t="shared" si="4"/>
        <v>-3</v>
      </c>
      <c r="BI34" s="18">
        <v>2</v>
      </c>
      <c r="BJ34" s="18">
        <v>40</v>
      </c>
      <c r="BK34" s="18">
        <v>0.1</v>
      </c>
      <c r="BL34" s="18">
        <v>0.1</v>
      </c>
      <c r="BM34" s="18">
        <v>0.2</v>
      </c>
      <c r="BN34" s="22">
        <v>1</v>
      </c>
      <c r="BO34" s="22">
        <v>1</v>
      </c>
      <c r="BP34" s="123">
        <v>36</v>
      </c>
      <c r="BQ34" s="23">
        <v>18</v>
      </c>
      <c r="BR34" s="123">
        <v>17.5</v>
      </c>
      <c r="BS34" s="123" t="s">
        <v>106</v>
      </c>
      <c r="BT34" s="123" t="s">
        <v>107</v>
      </c>
      <c r="BU34" s="19" t="s">
        <v>108</v>
      </c>
      <c r="BV34" s="6"/>
      <c r="BW34" s="6"/>
      <c r="BX34" s="6"/>
      <c r="BY34" s="6"/>
      <c r="BZ34" s="6"/>
      <c r="CA34" s="6"/>
    </row>
    <row r="35" spans="1:79" ht="180.75" thickBo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42"/>
      <c r="O35" s="42"/>
      <c r="P35" s="42"/>
      <c r="Q35" s="6"/>
      <c r="R35" s="6"/>
      <c r="S35" s="6"/>
      <c r="T35" s="6"/>
      <c r="U35" s="6"/>
      <c r="V35" s="6"/>
      <c r="W35" s="6"/>
      <c r="X35" s="6"/>
      <c r="Y35" s="12" t="s">
        <v>120</v>
      </c>
      <c r="Z35" s="13" t="s">
        <v>104</v>
      </c>
      <c r="AA35" s="13">
        <v>60</v>
      </c>
      <c r="AB35" s="13">
        <v>192</v>
      </c>
      <c r="AC35" s="18">
        <v>11</v>
      </c>
      <c r="AD35" s="18">
        <v>241</v>
      </c>
      <c r="AE35" s="13">
        <v>300</v>
      </c>
      <c r="AF35" s="18">
        <v>8</v>
      </c>
      <c r="AG35" s="18">
        <v>8</v>
      </c>
      <c r="AH35" s="18">
        <v>17</v>
      </c>
      <c r="AI35" s="18">
        <f t="shared" si="5"/>
        <v>9</v>
      </c>
      <c r="AJ35" s="18">
        <v>2</v>
      </c>
      <c r="AK35" s="22">
        <v>1.5</v>
      </c>
      <c r="AL35" s="35">
        <v>0</v>
      </c>
      <c r="AM35" s="18">
        <v>40</v>
      </c>
      <c r="AN35" s="18">
        <v>0.1</v>
      </c>
      <c r="AO35" s="18">
        <v>0.1</v>
      </c>
      <c r="AP35" s="18">
        <v>0.2</v>
      </c>
      <c r="AQ35" s="13">
        <v>30</v>
      </c>
      <c r="AR35" s="23">
        <v>15</v>
      </c>
      <c r="AS35" s="13">
        <v>17.5</v>
      </c>
      <c r="AT35" s="13" t="s">
        <v>106</v>
      </c>
      <c r="AU35" s="13" t="s">
        <v>107</v>
      </c>
      <c r="AV35" s="19" t="s">
        <v>108</v>
      </c>
      <c r="AW35" s="10"/>
      <c r="AX35" s="39" t="s">
        <v>117</v>
      </c>
      <c r="AY35" s="123" t="s">
        <v>104</v>
      </c>
      <c r="AZ35" s="123">
        <v>96</v>
      </c>
      <c r="BA35" s="123">
        <v>228</v>
      </c>
      <c r="BB35" s="18">
        <v>13</v>
      </c>
      <c r="BC35" s="18">
        <v>241</v>
      </c>
      <c r="BD35" s="18">
        <v>300</v>
      </c>
      <c r="BE35" s="25">
        <v>22</v>
      </c>
      <c r="BF35" s="25">
        <v>22</v>
      </c>
      <c r="BG35" s="25">
        <v>18</v>
      </c>
      <c r="BH35" s="25">
        <f t="shared" si="4"/>
        <v>-4</v>
      </c>
      <c r="BI35" s="18">
        <v>2</v>
      </c>
      <c r="BJ35" s="18">
        <v>40</v>
      </c>
      <c r="BK35" s="18">
        <v>0.1</v>
      </c>
      <c r="BL35" s="18">
        <v>0.1</v>
      </c>
      <c r="BM35" s="18">
        <v>0.2</v>
      </c>
      <c r="BN35" s="22">
        <v>1</v>
      </c>
      <c r="BO35" s="22">
        <v>1</v>
      </c>
      <c r="BP35" s="123">
        <v>36</v>
      </c>
      <c r="BQ35" s="23">
        <v>18</v>
      </c>
      <c r="BR35" s="123">
        <v>17.5</v>
      </c>
      <c r="BS35" s="123" t="s">
        <v>106</v>
      </c>
      <c r="BT35" s="123" t="s">
        <v>107</v>
      </c>
      <c r="BU35" s="19" t="s">
        <v>108</v>
      </c>
      <c r="BV35" s="6"/>
      <c r="BW35" s="6"/>
      <c r="BX35" s="6"/>
      <c r="BY35" s="6"/>
      <c r="BZ35" s="6"/>
      <c r="CA35" s="6"/>
    </row>
    <row r="36" spans="1:79" ht="180.75" thickBo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42"/>
      <c r="O36" s="42"/>
      <c r="P36" s="42"/>
      <c r="Q36" s="6"/>
      <c r="R36" s="6"/>
      <c r="S36" s="6"/>
      <c r="T36" s="6"/>
      <c r="U36" s="6"/>
      <c r="V36" s="6"/>
      <c r="W36" s="6"/>
      <c r="X36" s="6"/>
      <c r="Y36" s="12" t="s">
        <v>120</v>
      </c>
      <c r="Z36" s="13" t="s">
        <v>104</v>
      </c>
      <c r="AA36" s="13">
        <v>60</v>
      </c>
      <c r="AB36" s="13">
        <v>192</v>
      </c>
      <c r="AC36" s="18">
        <v>10</v>
      </c>
      <c r="AD36" s="18">
        <v>241</v>
      </c>
      <c r="AE36" s="13">
        <v>300</v>
      </c>
      <c r="AF36" s="18">
        <v>9</v>
      </c>
      <c r="AG36" s="18">
        <v>9</v>
      </c>
      <c r="AH36" s="18">
        <v>17</v>
      </c>
      <c r="AI36" s="18">
        <f t="shared" si="5"/>
        <v>8</v>
      </c>
      <c r="AJ36" s="18">
        <v>2</v>
      </c>
      <c r="AK36" s="22">
        <v>1.5</v>
      </c>
      <c r="AL36" s="35">
        <v>0</v>
      </c>
      <c r="AM36" s="18">
        <v>40</v>
      </c>
      <c r="AN36" s="18">
        <v>0.1</v>
      </c>
      <c r="AO36" s="18">
        <v>0.1</v>
      </c>
      <c r="AP36" s="18">
        <v>0.2</v>
      </c>
      <c r="AQ36" s="13">
        <v>30</v>
      </c>
      <c r="AR36" s="23">
        <v>15</v>
      </c>
      <c r="AS36" s="13">
        <v>17.5</v>
      </c>
      <c r="AT36" s="13" t="s">
        <v>106</v>
      </c>
      <c r="AU36" s="13" t="s">
        <v>107</v>
      </c>
      <c r="AV36" s="19" t="s">
        <v>108</v>
      </c>
      <c r="AW36" s="10"/>
      <c r="AX36" s="39" t="s">
        <v>117</v>
      </c>
      <c r="AY36" s="123" t="s">
        <v>104</v>
      </c>
      <c r="AZ36" s="123">
        <v>96</v>
      </c>
      <c r="BA36" s="123">
        <v>228</v>
      </c>
      <c r="BB36" s="18">
        <v>12</v>
      </c>
      <c r="BC36" s="18">
        <v>241</v>
      </c>
      <c r="BD36" s="18">
        <v>300</v>
      </c>
      <c r="BE36" s="25">
        <v>23</v>
      </c>
      <c r="BF36" s="25">
        <v>23</v>
      </c>
      <c r="BG36" s="25">
        <v>18</v>
      </c>
      <c r="BH36" s="25">
        <f t="shared" si="4"/>
        <v>-5</v>
      </c>
      <c r="BI36" s="18">
        <v>2</v>
      </c>
      <c r="BJ36" s="18">
        <v>40</v>
      </c>
      <c r="BK36" s="18">
        <v>0.1</v>
      </c>
      <c r="BL36" s="18">
        <v>0.1</v>
      </c>
      <c r="BM36" s="18">
        <v>0.2</v>
      </c>
      <c r="BN36" s="22">
        <v>1</v>
      </c>
      <c r="BO36" s="22">
        <v>1</v>
      </c>
      <c r="BP36" s="123">
        <v>36</v>
      </c>
      <c r="BQ36" s="23">
        <v>18</v>
      </c>
      <c r="BR36" s="123">
        <v>17.5</v>
      </c>
      <c r="BS36" s="123" t="s">
        <v>106</v>
      </c>
      <c r="BT36" s="123" t="s">
        <v>107</v>
      </c>
      <c r="BU36" s="19" t="s">
        <v>108</v>
      </c>
      <c r="BV36" s="6"/>
      <c r="BW36" s="6"/>
      <c r="BX36" s="6"/>
      <c r="BY36" s="6"/>
      <c r="BZ36" s="6"/>
      <c r="CA36" s="6"/>
    </row>
    <row r="37" spans="1:79" ht="180.75" thickBo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42"/>
      <c r="O37" s="42"/>
      <c r="P37" s="42"/>
      <c r="Q37" s="6"/>
      <c r="R37" s="6"/>
      <c r="S37" s="6"/>
      <c r="T37" s="6"/>
      <c r="U37" s="6"/>
      <c r="V37" s="6"/>
      <c r="W37" s="6"/>
      <c r="X37" s="6"/>
      <c r="Y37" s="12" t="s">
        <v>120</v>
      </c>
      <c r="Z37" s="13" t="s">
        <v>104</v>
      </c>
      <c r="AA37" s="13">
        <v>60</v>
      </c>
      <c r="AB37" s="13">
        <v>192</v>
      </c>
      <c r="AC37" s="18">
        <v>9</v>
      </c>
      <c r="AD37" s="18">
        <v>241</v>
      </c>
      <c r="AE37" s="13">
        <v>300</v>
      </c>
      <c r="AF37" s="18">
        <v>10</v>
      </c>
      <c r="AG37" s="18">
        <v>10</v>
      </c>
      <c r="AH37" s="18">
        <v>17</v>
      </c>
      <c r="AI37" s="18">
        <f t="shared" si="5"/>
        <v>7</v>
      </c>
      <c r="AJ37" s="18">
        <v>2</v>
      </c>
      <c r="AK37" s="22">
        <v>1.5</v>
      </c>
      <c r="AL37" s="35">
        <v>0</v>
      </c>
      <c r="AM37" s="18">
        <v>40</v>
      </c>
      <c r="AN37" s="18">
        <v>0.1</v>
      </c>
      <c r="AO37" s="18">
        <v>0.1</v>
      </c>
      <c r="AP37" s="18">
        <v>0.2</v>
      </c>
      <c r="AQ37" s="13">
        <v>30</v>
      </c>
      <c r="AR37" s="23">
        <v>15</v>
      </c>
      <c r="AS37" s="13">
        <v>17.5</v>
      </c>
      <c r="AT37" s="13" t="s">
        <v>106</v>
      </c>
      <c r="AU37" s="13" t="s">
        <v>107</v>
      </c>
      <c r="AV37" s="19" t="s">
        <v>108</v>
      </c>
      <c r="AW37" s="10"/>
      <c r="AX37" s="39" t="s">
        <v>117</v>
      </c>
      <c r="AY37" s="123" t="s">
        <v>104</v>
      </c>
      <c r="AZ37" s="123">
        <v>96</v>
      </c>
      <c r="BA37" s="123">
        <v>228</v>
      </c>
      <c r="BB37" s="18">
        <v>11</v>
      </c>
      <c r="BC37" s="18">
        <v>241</v>
      </c>
      <c r="BD37" s="18">
        <v>300</v>
      </c>
      <c r="BE37" s="25">
        <v>24</v>
      </c>
      <c r="BF37" s="25">
        <v>24</v>
      </c>
      <c r="BG37" s="25">
        <v>18</v>
      </c>
      <c r="BH37" s="25">
        <v>-6</v>
      </c>
      <c r="BI37" s="18">
        <v>2</v>
      </c>
      <c r="BJ37" s="18">
        <v>40</v>
      </c>
      <c r="BK37" s="18">
        <v>0.1</v>
      </c>
      <c r="BL37" s="18">
        <v>0.1</v>
      </c>
      <c r="BM37" s="18">
        <v>0.2</v>
      </c>
      <c r="BN37" s="22">
        <v>1</v>
      </c>
      <c r="BO37" s="22">
        <v>1</v>
      </c>
      <c r="BP37" s="123">
        <v>36</v>
      </c>
      <c r="BQ37" s="23">
        <v>18</v>
      </c>
      <c r="BR37" s="123">
        <v>17.5</v>
      </c>
      <c r="BS37" s="123" t="s">
        <v>106</v>
      </c>
      <c r="BT37" s="123" t="s">
        <v>107</v>
      </c>
      <c r="BU37" s="19" t="s">
        <v>108</v>
      </c>
      <c r="BV37" s="6"/>
      <c r="BW37" s="6"/>
      <c r="BX37" s="6"/>
      <c r="BY37" s="6"/>
      <c r="BZ37" s="6"/>
      <c r="CA37" s="6"/>
    </row>
    <row r="38" spans="1:79" ht="180.75" thickBo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42"/>
      <c r="O38" s="42"/>
      <c r="P38" s="42"/>
      <c r="Q38" s="6"/>
      <c r="R38" s="6"/>
      <c r="S38" s="6"/>
      <c r="T38" s="6"/>
      <c r="U38" s="6"/>
      <c r="V38" s="6"/>
      <c r="W38" s="6"/>
      <c r="X38" s="6"/>
      <c r="Y38" s="12" t="s">
        <v>120</v>
      </c>
      <c r="Z38" s="13" t="s">
        <v>104</v>
      </c>
      <c r="AA38" s="13">
        <v>60</v>
      </c>
      <c r="AB38" s="13">
        <v>192</v>
      </c>
      <c r="AC38" s="18">
        <v>8</v>
      </c>
      <c r="AD38" s="18">
        <v>241</v>
      </c>
      <c r="AE38" s="13">
        <v>300</v>
      </c>
      <c r="AF38" s="18">
        <v>11</v>
      </c>
      <c r="AG38" s="18">
        <v>11</v>
      </c>
      <c r="AH38" s="18">
        <v>17</v>
      </c>
      <c r="AI38" s="18">
        <f t="shared" si="5"/>
        <v>6</v>
      </c>
      <c r="AJ38" s="18">
        <v>2</v>
      </c>
      <c r="AK38" s="22">
        <v>1.5</v>
      </c>
      <c r="AL38" s="35">
        <v>0</v>
      </c>
      <c r="AM38" s="18">
        <v>40</v>
      </c>
      <c r="AN38" s="18">
        <v>0.1</v>
      </c>
      <c r="AO38" s="18">
        <v>0.1</v>
      </c>
      <c r="AP38" s="18">
        <v>0.2</v>
      </c>
      <c r="AQ38" s="13">
        <v>30</v>
      </c>
      <c r="AR38" s="23">
        <v>15</v>
      </c>
      <c r="AS38" s="13">
        <v>17.5</v>
      </c>
      <c r="AT38" s="13" t="s">
        <v>106</v>
      </c>
      <c r="AU38" s="13" t="s">
        <v>107</v>
      </c>
      <c r="AV38" s="19" t="s">
        <v>108</v>
      </c>
      <c r="AW38" s="10"/>
      <c r="AX38" s="160" t="s">
        <v>117</v>
      </c>
      <c r="AY38" s="161" t="s">
        <v>104</v>
      </c>
      <c r="AZ38" s="161">
        <v>96</v>
      </c>
      <c r="BA38" s="161">
        <v>228</v>
      </c>
      <c r="BB38" s="162">
        <v>10</v>
      </c>
      <c r="BC38" s="162">
        <v>241</v>
      </c>
      <c r="BD38" s="162">
        <v>300</v>
      </c>
      <c r="BE38" s="163">
        <v>25</v>
      </c>
      <c r="BF38" s="163">
        <v>25</v>
      </c>
      <c r="BG38" s="163">
        <v>18</v>
      </c>
      <c r="BH38" s="163">
        <v>-7</v>
      </c>
      <c r="BI38" s="162">
        <v>2</v>
      </c>
      <c r="BJ38" s="162">
        <v>40</v>
      </c>
      <c r="BK38" s="162">
        <v>0.1</v>
      </c>
      <c r="BL38" s="162">
        <v>0.1</v>
      </c>
      <c r="BM38" s="162">
        <v>0.2</v>
      </c>
      <c r="BN38" s="164">
        <v>1</v>
      </c>
      <c r="BO38" s="164">
        <v>1</v>
      </c>
      <c r="BP38" s="161">
        <v>36</v>
      </c>
      <c r="BQ38" s="165">
        <v>18</v>
      </c>
      <c r="BR38" s="161">
        <v>17.5</v>
      </c>
      <c r="BS38" s="161" t="s">
        <v>106</v>
      </c>
      <c r="BT38" s="161" t="s">
        <v>107</v>
      </c>
      <c r="BU38" s="166" t="s">
        <v>108</v>
      </c>
      <c r="BV38" s="6"/>
      <c r="BW38" s="6"/>
      <c r="BX38" s="6"/>
      <c r="BY38" s="6"/>
      <c r="BZ38" s="6"/>
      <c r="CA38" s="6"/>
    </row>
    <row r="39" spans="1:79" ht="180.75" thickBo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42"/>
      <c r="O39" s="42"/>
      <c r="P39" s="42"/>
      <c r="Q39" s="6"/>
      <c r="R39" s="6"/>
      <c r="S39" s="6"/>
      <c r="T39" s="6"/>
      <c r="U39" s="6"/>
      <c r="V39" s="6"/>
      <c r="W39" s="6"/>
      <c r="X39" s="6"/>
      <c r="Y39" s="12" t="s">
        <v>120</v>
      </c>
      <c r="Z39" s="13" t="s">
        <v>104</v>
      </c>
      <c r="AA39" s="13">
        <v>60</v>
      </c>
      <c r="AB39" s="13">
        <v>192</v>
      </c>
      <c r="AC39" s="18">
        <v>7</v>
      </c>
      <c r="AD39" s="18">
        <v>241</v>
      </c>
      <c r="AE39" s="13">
        <v>300</v>
      </c>
      <c r="AF39" s="18">
        <v>12</v>
      </c>
      <c r="AG39" s="18">
        <v>12</v>
      </c>
      <c r="AH39" s="18">
        <v>17</v>
      </c>
      <c r="AI39" s="18">
        <f t="shared" si="5"/>
        <v>5</v>
      </c>
      <c r="AJ39" s="18">
        <v>2</v>
      </c>
      <c r="AK39" s="22">
        <v>1.5</v>
      </c>
      <c r="AL39" s="35">
        <v>0</v>
      </c>
      <c r="AM39" s="18">
        <v>40</v>
      </c>
      <c r="AN39" s="18">
        <v>0.1</v>
      </c>
      <c r="AO39" s="18">
        <v>0.1</v>
      </c>
      <c r="AP39" s="18">
        <v>0.2</v>
      </c>
      <c r="AQ39" s="13">
        <v>30</v>
      </c>
      <c r="AR39" s="23">
        <v>15</v>
      </c>
      <c r="AS39" s="13">
        <v>17.5</v>
      </c>
      <c r="AT39" s="13" t="s">
        <v>106</v>
      </c>
      <c r="AU39" s="13" t="s">
        <v>107</v>
      </c>
      <c r="AV39" s="19" t="s">
        <v>108</v>
      </c>
      <c r="AW39" s="10"/>
      <c r="AX39" s="10"/>
      <c r="AY39" s="10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42"/>
      <c r="BL39" s="42"/>
      <c r="BM39" s="42"/>
      <c r="BN39" s="6"/>
      <c r="BO39" s="42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</row>
    <row r="40" spans="1:79" ht="180.75" thickBo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42"/>
      <c r="O40" s="42"/>
      <c r="P40" s="42"/>
      <c r="Q40" s="6"/>
      <c r="R40" s="6"/>
      <c r="S40" s="6"/>
      <c r="T40" s="6"/>
      <c r="U40" s="6"/>
      <c r="V40" s="6"/>
      <c r="W40" s="6"/>
      <c r="X40" s="6"/>
      <c r="Y40" s="27" t="s">
        <v>120</v>
      </c>
      <c r="Z40" s="28" t="s">
        <v>104</v>
      </c>
      <c r="AA40" s="28">
        <v>60</v>
      </c>
      <c r="AB40" s="28">
        <v>192</v>
      </c>
      <c r="AC40" s="29">
        <v>6</v>
      </c>
      <c r="AD40" s="29">
        <v>241</v>
      </c>
      <c r="AE40" s="28">
        <v>300</v>
      </c>
      <c r="AF40" s="18">
        <v>13</v>
      </c>
      <c r="AG40" s="18">
        <v>13</v>
      </c>
      <c r="AH40" s="29">
        <v>17</v>
      </c>
      <c r="AI40" s="29">
        <f t="shared" si="5"/>
        <v>4</v>
      </c>
      <c r="AJ40" s="29">
        <v>2</v>
      </c>
      <c r="AK40" s="22">
        <v>1.5</v>
      </c>
      <c r="AL40" s="35">
        <v>0</v>
      </c>
      <c r="AM40" s="29">
        <v>40</v>
      </c>
      <c r="AN40" s="18">
        <v>0.1</v>
      </c>
      <c r="AO40" s="18">
        <v>0.1</v>
      </c>
      <c r="AP40" s="18">
        <v>0.2</v>
      </c>
      <c r="AQ40" s="28">
        <v>30</v>
      </c>
      <c r="AR40" s="36">
        <v>15</v>
      </c>
      <c r="AS40" s="28">
        <v>17.5</v>
      </c>
      <c r="AT40" s="28" t="s">
        <v>106</v>
      </c>
      <c r="AU40" s="28" t="s">
        <v>107</v>
      </c>
      <c r="AV40" s="30" t="s">
        <v>108</v>
      </c>
      <c r="AW40" s="10"/>
      <c r="AX40" s="10"/>
      <c r="AY40" s="10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42"/>
      <c r="BL40" s="42"/>
      <c r="BM40" s="42"/>
      <c r="BN40" s="6"/>
      <c r="BO40" s="42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</row>
    <row r="41" spans="1:79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42"/>
      <c r="O41" s="42"/>
      <c r="P41" s="42"/>
      <c r="Q41" s="6"/>
      <c r="R41" s="6"/>
      <c r="S41" s="6"/>
      <c r="T41" s="6"/>
      <c r="U41" s="6"/>
      <c r="V41" s="6"/>
      <c r="W41" s="6"/>
      <c r="X41" s="6"/>
      <c r="Y41" s="6"/>
      <c r="Z41" s="6"/>
      <c r="AA41" s="10"/>
      <c r="AB41" s="10"/>
      <c r="AC41" s="6"/>
      <c r="AD41" s="6"/>
      <c r="AE41" s="6"/>
      <c r="AF41" s="6"/>
      <c r="AG41" s="6"/>
      <c r="AH41" s="6"/>
      <c r="AI41" s="6"/>
      <c r="AJ41" s="6"/>
      <c r="AK41" s="6"/>
      <c r="AL41" s="42"/>
      <c r="AM41" s="6"/>
      <c r="AN41" s="42"/>
      <c r="AO41" s="42"/>
      <c r="AP41" s="42"/>
      <c r="AQ41" s="6"/>
      <c r="AR41" s="10"/>
      <c r="AS41" s="10"/>
      <c r="AT41" s="10"/>
      <c r="AU41" s="10"/>
      <c r="AV41" s="10"/>
      <c r="AW41" s="10"/>
      <c r="AX41" s="10"/>
      <c r="AY41" s="10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42"/>
      <c r="BL41" s="42"/>
      <c r="BM41" s="42"/>
      <c r="BN41" s="6"/>
      <c r="BO41" s="42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</row>
    <row r="42" spans="1:79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42"/>
      <c r="O42" s="42"/>
      <c r="P42" s="42"/>
      <c r="Q42" s="6"/>
      <c r="R42" s="6"/>
      <c r="S42" s="6"/>
      <c r="T42" s="6"/>
      <c r="U42" s="6"/>
      <c r="V42" s="6"/>
      <c r="W42" s="6"/>
      <c r="X42" s="6"/>
      <c r="Y42" s="6"/>
      <c r="Z42" s="6"/>
      <c r="AA42" s="10"/>
      <c r="AB42" s="10"/>
      <c r="AC42" s="6"/>
      <c r="AD42" s="6"/>
      <c r="AE42" s="6"/>
      <c r="AF42" s="6"/>
      <c r="AG42" s="6"/>
      <c r="AH42" s="6"/>
      <c r="AI42" s="6"/>
      <c r="AJ42" s="6"/>
      <c r="AK42" s="6"/>
      <c r="AL42" s="42"/>
      <c r="AM42" s="6"/>
      <c r="AN42" s="42"/>
      <c r="AO42" s="42"/>
      <c r="AP42" s="42"/>
      <c r="AQ42" s="6"/>
      <c r="AR42" s="10"/>
      <c r="AS42" s="10"/>
      <c r="AT42" s="10"/>
      <c r="AU42" s="10"/>
      <c r="AV42" s="10"/>
      <c r="AW42" s="10"/>
      <c r="AX42" s="10"/>
      <c r="AY42" s="10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9"/>
      <c r="BK42" s="42"/>
      <c r="BL42" s="42"/>
      <c r="BM42" s="42"/>
      <c r="BN42" s="9"/>
      <c r="BO42" s="9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</row>
  </sheetData>
  <mergeCells count="7">
    <mergeCell ref="Y29:AV29"/>
    <mergeCell ref="A2:W2"/>
    <mergeCell ref="Y2:AU2"/>
    <mergeCell ref="AX2:BU2"/>
    <mergeCell ref="A15:W15"/>
    <mergeCell ref="Y15:AV15"/>
    <mergeCell ref="AX21:BU2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U41"/>
  <sheetViews>
    <sheetView tabSelected="1" zoomScale="86" zoomScaleNormal="86" workbookViewId="0">
      <pane ySplit="3" topLeftCell="A4" activePane="bottomLeft" state="frozen"/>
      <selection pane="bottomLeft" activeCell="BL4" sqref="BL4"/>
    </sheetView>
  </sheetViews>
  <sheetFormatPr defaultRowHeight="15"/>
  <cols>
    <col min="14" max="14" width="0" hidden="1" customWidth="1"/>
    <col min="40" max="40" width="0" hidden="1" customWidth="1"/>
    <col min="63" max="63" width="0" hidden="1" customWidth="1"/>
  </cols>
  <sheetData>
    <row r="1" spans="1:73" ht="15.75" thickBot="1">
      <c r="A1" s="125">
        <v>1</v>
      </c>
      <c r="B1" s="125">
        <v>2</v>
      </c>
      <c r="C1" s="125">
        <v>3</v>
      </c>
      <c r="D1" s="125">
        <v>4</v>
      </c>
      <c r="E1" s="125">
        <v>5</v>
      </c>
      <c r="F1" s="125">
        <v>6</v>
      </c>
      <c r="G1" s="125">
        <v>7</v>
      </c>
      <c r="H1" s="125">
        <v>8</v>
      </c>
      <c r="I1" s="125">
        <v>9</v>
      </c>
      <c r="J1" s="125">
        <v>10</v>
      </c>
      <c r="K1" s="125">
        <v>11</v>
      </c>
      <c r="L1" s="125">
        <v>12</v>
      </c>
      <c r="M1" s="125">
        <v>13</v>
      </c>
      <c r="N1" s="125">
        <v>14</v>
      </c>
      <c r="O1" s="125">
        <v>15</v>
      </c>
      <c r="P1" s="125">
        <v>16</v>
      </c>
      <c r="Q1" s="125">
        <v>17</v>
      </c>
      <c r="R1" s="125">
        <v>18</v>
      </c>
      <c r="S1" s="125">
        <v>19</v>
      </c>
      <c r="T1" s="125">
        <v>20</v>
      </c>
      <c r="U1" s="125">
        <v>21</v>
      </c>
      <c r="V1" s="125">
        <v>22</v>
      </c>
      <c r="W1" s="125">
        <v>23</v>
      </c>
      <c r="X1" s="125">
        <v>24</v>
      </c>
      <c r="Y1" s="125">
        <v>25</v>
      </c>
      <c r="Z1" s="125">
        <v>26</v>
      </c>
      <c r="AA1" s="125">
        <v>27</v>
      </c>
      <c r="AB1" s="125">
        <v>28</v>
      </c>
      <c r="AC1" s="125">
        <v>29</v>
      </c>
      <c r="AD1" s="125">
        <v>30</v>
      </c>
      <c r="AE1" s="125">
        <v>31</v>
      </c>
      <c r="AF1" s="125">
        <v>32</v>
      </c>
      <c r="AG1" s="125">
        <v>33</v>
      </c>
      <c r="AH1" s="125">
        <v>34</v>
      </c>
      <c r="AI1" s="125">
        <v>35</v>
      </c>
      <c r="AJ1" s="125">
        <v>36</v>
      </c>
      <c r="AK1" s="125">
        <v>37</v>
      </c>
      <c r="AL1" s="125">
        <v>38</v>
      </c>
      <c r="AM1" s="125">
        <v>39</v>
      </c>
      <c r="AN1" s="125">
        <v>40</v>
      </c>
      <c r="AO1" s="125">
        <v>41</v>
      </c>
      <c r="AP1" s="125">
        <v>42</v>
      </c>
      <c r="AQ1" s="125">
        <v>43</v>
      </c>
      <c r="AR1" s="125">
        <v>44</v>
      </c>
      <c r="AS1" s="125">
        <v>45</v>
      </c>
      <c r="AT1" s="125">
        <v>46</v>
      </c>
      <c r="AU1" s="125">
        <v>47</v>
      </c>
      <c r="AV1" s="125">
        <v>48</v>
      </c>
      <c r="AW1" s="125">
        <v>49</v>
      </c>
      <c r="AX1" s="125">
        <v>50</v>
      </c>
      <c r="AY1" s="125">
        <v>51</v>
      </c>
      <c r="AZ1" s="125">
        <v>52</v>
      </c>
      <c r="BA1" s="125">
        <v>53</v>
      </c>
      <c r="BB1" s="125">
        <v>54</v>
      </c>
      <c r="BC1" s="125">
        <v>55</v>
      </c>
      <c r="BD1" s="125">
        <v>56</v>
      </c>
      <c r="BE1" s="125">
        <v>57</v>
      </c>
      <c r="BF1" s="125">
        <v>58</v>
      </c>
      <c r="BG1" s="125">
        <v>59</v>
      </c>
      <c r="BH1" s="125">
        <v>60</v>
      </c>
      <c r="BI1" s="125">
        <v>61</v>
      </c>
      <c r="BJ1" s="125">
        <v>62</v>
      </c>
      <c r="BK1" s="125">
        <v>63</v>
      </c>
      <c r="BL1" s="125">
        <v>64</v>
      </c>
      <c r="BM1" s="125">
        <v>65</v>
      </c>
      <c r="BN1" s="125">
        <v>66</v>
      </c>
      <c r="BO1" s="125">
        <v>67</v>
      </c>
      <c r="BP1" s="125">
        <v>68</v>
      </c>
      <c r="BQ1" s="125">
        <v>69</v>
      </c>
      <c r="BR1" s="125">
        <v>70</v>
      </c>
      <c r="BS1" s="125">
        <v>71</v>
      </c>
      <c r="BT1" s="125">
        <v>72</v>
      </c>
      <c r="BU1" s="125">
        <v>73</v>
      </c>
    </row>
    <row r="2" spans="1:73" ht="15" customHeight="1">
      <c r="A2" s="143" t="s">
        <v>176</v>
      </c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5"/>
      <c r="X2" s="10"/>
      <c r="Y2" s="149" t="s">
        <v>177</v>
      </c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1"/>
      <c r="AX2" s="152" t="s">
        <v>178</v>
      </c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  <c r="BL2" s="153"/>
      <c r="BM2" s="153"/>
      <c r="BN2" s="153"/>
      <c r="BO2" s="153"/>
      <c r="BP2" s="153"/>
      <c r="BQ2" s="153"/>
      <c r="BR2" s="153"/>
      <c r="BS2" s="153"/>
      <c r="BT2" s="153"/>
      <c r="BU2" s="154"/>
    </row>
    <row r="3" spans="1:73" ht="150">
      <c r="A3" s="12" t="s">
        <v>77</v>
      </c>
      <c r="B3" s="103" t="s">
        <v>78</v>
      </c>
      <c r="C3" s="103" t="s">
        <v>79</v>
      </c>
      <c r="D3" s="103" t="s">
        <v>80</v>
      </c>
      <c r="E3" s="14" t="s">
        <v>81</v>
      </c>
      <c r="F3" s="14" t="s">
        <v>82</v>
      </c>
      <c r="G3" s="14" t="s">
        <v>83</v>
      </c>
      <c r="H3" s="14" t="s">
        <v>99</v>
      </c>
      <c r="I3" s="14" t="s">
        <v>100</v>
      </c>
      <c r="J3" s="14" t="s">
        <v>86</v>
      </c>
      <c r="K3" s="14" t="s">
        <v>87</v>
      </c>
      <c r="L3" s="14" t="s">
        <v>101</v>
      </c>
      <c r="M3" s="14" t="s">
        <v>89</v>
      </c>
      <c r="N3" s="14"/>
      <c r="O3" s="103" t="s">
        <v>179</v>
      </c>
      <c r="P3" s="103" t="s">
        <v>180</v>
      </c>
      <c r="Q3" s="14" t="s">
        <v>90</v>
      </c>
      <c r="R3" s="103" t="s">
        <v>181</v>
      </c>
      <c r="S3" s="103" t="s">
        <v>182</v>
      </c>
      <c r="T3" s="16" t="s">
        <v>93</v>
      </c>
      <c r="U3" s="16" t="s">
        <v>94</v>
      </c>
      <c r="V3" s="16" t="s">
        <v>95</v>
      </c>
      <c r="W3" s="17" t="s">
        <v>96</v>
      </c>
      <c r="X3" s="37"/>
      <c r="Y3" s="12" t="s">
        <v>97</v>
      </c>
      <c r="Z3" s="103" t="s">
        <v>78</v>
      </c>
      <c r="AA3" s="14" t="s">
        <v>82</v>
      </c>
      <c r="AB3" s="14" t="s">
        <v>83</v>
      </c>
      <c r="AC3" s="14" t="s">
        <v>81</v>
      </c>
      <c r="AD3" s="14" t="s">
        <v>82</v>
      </c>
      <c r="AE3" s="14" t="s">
        <v>83</v>
      </c>
      <c r="AF3" s="14" t="s">
        <v>99</v>
      </c>
      <c r="AG3" s="14" t="s">
        <v>100</v>
      </c>
      <c r="AH3" s="14" t="s">
        <v>86</v>
      </c>
      <c r="AI3" s="14" t="s">
        <v>87</v>
      </c>
      <c r="AJ3" s="14" t="s">
        <v>183</v>
      </c>
      <c r="AK3" s="14" t="s">
        <v>169</v>
      </c>
      <c r="AL3" s="14" t="s">
        <v>170</v>
      </c>
      <c r="AM3" s="14" t="s">
        <v>89</v>
      </c>
      <c r="AN3" s="14"/>
      <c r="AO3" s="103" t="s">
        <v>179</v>
      </c>
      <c r="AP3" s="103" t="s">
        <v>180</v>
      </c>
      <c r="AQ3" s="103" t="s">
        <v>181</v>
      </c>
      <c r="AR3" s="103" t="s">
        <v>182</v>
      </c>
      <c r="AS3" s="16" t="s">
        <v>93</v>
      </c>
      <c r="AT3" s="16" t="s">
        <v>94</v>
      </c>
      <c r="AU3" s="16" t="s">
        <v>95</v>
      </c>
      <c r="AV3" s="17" t="s">
        <v>96</v>
      </c>
      <c r="AX3" s="12" t="s">
        <v>97</v>
      </c>
      <c r="AY3" s="103" t="s">
        <v>78</v>
      </c>
      <c r="AZ3" s="103" t="s">
        <v>79</v>
      </c>
      <c r="BA3" s="103" t="s">
        <v>80</v>
      </c>
      <c r="BB3" s="14" t="s">
        <v>81</v>
      </c>
      <c r="BC3" s="14" t="s">
        <v>82</v>
      </c>
      <c r="BD3" s="14" t="s">
        <v>83</v>
      </c>
      <c r="BE3" s="14" t="s">
        <v>99</v>
      </c>
      <c r="BF3" s="14" t="s">
        <v>100</v>
      </c>
      <c r="BG3" s="14" t="s">
        <v>86</v>
      </c>
      <c r="BH3" s="14" t="s">
        <v>87</v>
      </c>
      <c r="BI3" s="14" t="s">
        <v>184</v>
      </c>
      <c r="BJ3" s="14" t="s">
        <v>89</v>
      </c>
      <c r="BK3" s="14"/>
      <c r="BL3" s="103" t="s">
        <v>179</v>
      </c>
      <c r="BM3" s="103" t="s">
        <v>180</v>
      </c>
      <c r="BN3" s="14" t="s">
        <v>169</v>
      </c>
      <c r="BO3" s="14" t="s">
        <v>170</v>
      </c>
      <c r="BP3" s="103" t="s">
        <v>181</v>
      </c>
      <c r="BQ3" s="103" t="s">
        <v>182</v>
      </c>
      <c r="BR3" s="16" t="s">
        <v>93</v>
      </c>
      <c r="BS3" s="16" t="s">
        <v>94</v>
      </c>
      <c r="BT3" s="16" t="s">
        <v>95</v>
      </c>
      <c r="BU3" s="17" t="s">
        <v>96</v>
      </c>
    </row>
    <row r="4" spans="1:73" ht="165">
      <c r="A4" s="12" t="s">
        <v>103</v>
      </c>
      <c r="B4" s="103" t="s">
        <v>175</v>
      </c>
      <c r="C4" s="103">
        <v>60</v>
      </c>
      <c r="D4" s="103">
        <v>120</v>
      </c>
      <c r="E4" s="18">
        <v>10</v>
      </c>
      <c r="F4" s="18">
        <v>40</v>
      </c>
      <c r="G4" s="18">
        <v>96</v>
      </c>
      <c r="H4" s="18">
        <v>4</v>
      </c>
      <c r="I4" s="18">
        <v>4</v>
      </c>
      <c r="J4" s="18">
        <v>7</v>
      </c>
      <c r="K4" s="18">
        <f t="shared" ref="K4:K10" si="0">J4-I4</f>
        <v>3</v>
      </c>
      <c r="L4" s="18">
        <v>1.5</v>
      </c>
      <c r="M4" s="18">
        <v>25</v>
      </c>
      <c r="N4" s="18"/>
      <c r="O4" s="103">
        <v>25</v>
      </c>
      <c r="P4" s="103">
        <v>12</v>
      </c>
      <c r="Q4" s="18">
        <v>1</v>
      </c>
      <c r="R4" s="103">
        <v>20</v>
      </c>
      <c r="S4" s="103">
        <v>10</v>
      </c>
      <c r="T4" s="103">
        <v>35</v>
      </c>
      <c r="U4" s="103" t="s">
        <v>106</v>
      </c>
      <c r="V4" s="103" t="s">
        <v>107</v>
      </c>
      <c r="W4" s="19" t="s">
        <v>108</v>
      </c>
      <c r="X4" s="24"/>
      <c r="Y4" s="12" t="s">
        <v>109</v>
      </c>
      <c r="Z4" s="103" t="s">
        <v>175</v>
      </c>
      <c r="AA4" s="103">
        <v>60</v>
      </c>
      <c r="AB4" s="103">
        <v>192</v>
      </c>
      <c r="AC4" s="18">
        <v>15</v>
      </c>
      <c r="AD4" s="18">
        <v>60</v>
      </c>
      <c r="AE4" s="103">
        <v>120</v>
      </c>
      <c r="AF4" s="18">
        <v>4</v>
      </c>
      <c r="AG4" s="18">
        <v>4</v>
      </c>
      <c r="AH4" s="18">
        <v>13</v>
      </c>
      <c r="AI4" s="18">
        <f>AH4-AG4</f>
        <v>9</v>
      </c>
      <c r="AJ4" s="18">
        <v>1.5</v>
      </c>
      <c r="AK4" s="22">
        <v>1</v>
      </c>
      <c r="AL4" s="22">
        <v>1</v>
      </c>
      <c r="AM4" s="18">
        <v>25</v>
      </c>
      <c r="AN4" s="18"/>
      <c r="AO4" s="103">
        <v>25</v>
      </c>
      <c r="AP4" s="103">
        <v>12</v>
      </c>
      <c r="AQ4" s="103">
        <v>20</v>
      </c>
      <c r="AR4" s="103">
        <v>10</v>
      </c>
      <c r="AS4" s="103">
        <v>17.5</v>
      </c>
      <c r="AT4" s="103" t="s">
        <v>106</v>
      </c>
      <c r="AU4" s="103" t="s">
        <v>107</v>
      </c>
      <c r="AV4" s="19" t="s">
        <v>108</v>
      </c>
      <c r="AX4" s="12" t="s">
        <v>110</v>
      </c>
      <c r="AY4" s="103" t="s">
        <v>185</v>
      </c>
      <c r="AZ4" s="103">
        <v>96</v>
      </c>
      <c r="BA4" s="103">
        <v>228</v>
      </c>
      <c r="BB4" s="18">
        <v>25</v>
      </c>
      <c r="BC4" s="18">
        <v>120</v>
      </c>
      <c r="BD4" s="18">
        <v>180</v>
      </c>
      <c r="BE4" s="18">
        <v>25</v>
      </c>
      <c r="BF4" s="18">
        <v>25</v>
      </c>
      <c r="BG4" s="18">
        <v>18</v>
      </c>
      <c r="BH4" s="18">
        <f>BF4-BG4</f>
        <v>7</v>
      </c>
      <c r="BI4" s="18">
        <v>1.5</v>
      </c>
      <c r="BJ4" s="18">
        <v>30</v>
      </c>
      <c r="BK4" s="18"/>
      <c r="BL4" s="103">
        <v>36</v>
      </c>
      <c r="BM4" s="23">
        <v>18</v>
      </c>
      <c r="BN4" s="22">
        <v>1</v>
      </c>
      <c r="BO4" s="22">
        <v>0.5</v>
      </c>
      <c r="BP4" s="103">
        <v>20</v>
      </c>
      <c r="BQ4" s="23">
        <v>10</v>
      </c>
      <c r="BR4" s="23"/>
      <c r="BS4" s="103" t="s">
        <v>106</v>
      </c>
      <c r="BT4" s="103" t="s">
        <v>107</v>
      </c>
      <c r="BU4" s="19" t="s">
        <v>108</v>
      </c>
    </row>
    <row r="5" spans="1:73" ht="165">
      <c r="A5" s="12" t="s">
        <v>103</v>
      </c>
      <c r="B5" s="103" t="s">
        <v>175</v>
      </c>
      <c r="C5" s="103">
        <v>60</v>
      </c>
      <c r="D5" s="103">
        <v>120</v>
      </c>
      <c r="E5" s="18">
        <v>9</v>
      </c>
      <c r="F5" s="18">
        <v>40</v>
      </c>
      <c r="G5" s="18">
        <v>96</v>
      </c>
      <c r="H5" s="18">
        <v>5</v>
      </c>
      <c r="I5" s="18">
        <v>5</v>
      </c>
      <c r="J5" s="18">
        <v>7</v>
      </c>
      <c r="K5" s="18">
        <f t="shared" si="0"/>
        <v>2</v>
      </c>
      <c r="L5" s="18">
        <v>1.5</v>
      </c>
      <c r="M5" s="18">
        <v>25</v>
      </c>
      <c r="N5" s="18"/>
      <c r="O5" s="103">
        <v>25</v>
      </c>
      <c r="P5" s="103">
        <v>12</v>
      </c>
      <c r="Q5" s="18">
        <v>1</v>
      </c>
      <c r="R5" s="103">
        <v>20</v>
      </c>
      <c r="S5" s="103">
        <v>10</v>
      </c>
      <c r="T5" s="103">
        <v>35</v>
      </c>
      <c r="U5" s="103" t="s">
        <v>106</v>
      </c>
      <c r="V5" s="103" t="s">
        <v>107</v>
      </c>
      <c r="W5" s="19" t="s">
        <v>108</v>
      </c>
      <c r="X5" s="24"/>
      <c r="Y5" s="12" t="s">
        <v>109</v>
      </c>
      <c r="Z5" s="103" t="s">
        <v>175</v>
      </c>
      <c r="AA5" s="103">
        <v>60</v>
      </c>
      <c r="AB5" s="103">
        <v>192</v>
      </c>
      <c r="AC5" s="18">
        <v>14</v>
      </c>
      <c r="AD5" s="18">
        <v>121</v>
      </c>
      <c r="AE5" s="103">
        <v>180</v>
      </c>
      <c r="AF5" s="18">
        <v>5</v>
      </c>
      <c r="AG5" s="18">
        <v>5</v>
      </c>
      <c r="AH5" s="18">
        <v>13</v>
      </c>
      <c r="AI5" s="18">
        <f t="shared" ref="AI5:AI13" si="1">AH5-AG5</f>
        <v>8</v>
      </c>
      <c r="AJ5" s="18">
        <v>1.5</v>
      </c>
      <c r="AK5" s="22">
        <v>1.5</v>
      </c>
      <c r="AL5" s="22">
        <v>1.5</v>
      </c>
      <c r="AM5" s="18">
        <v>30</v>
      </c>
      <c r="AN5" s="18"/>
      <c r="AO5" s="103">
        <v>30</v>
      </c>
      <c r="AP5" s="23">
        <v>15</v>
      </c>
      <c r="AQ5" s="103">
        <v>25</v>
      </c>
      <c r="AR5" s="23">
        <v>12</v>
      </c>
      <c r="AS5" s="103">
        <v>17.5</v>
      </c>
      <c r="AT5" s="103" t="s">
        <v>106</v>
      </c>
      <c r="AU5" s="103" t="s">
        <v>107</v>
      </c>
      <c r="AV5" s="19" t="s">
        <v>108</v>
      </c>
      <c r="AX5" s="12" t="s">
        <v>110</v>
      </c>
      <c r="AY5" s="103" t="s">
        <v>185</v>
      </c>
      <c r="AZ5" s="103">
        <v>96</v>
      </c>
      <c r="BA5" s="103">
        <v>228</v>
      </c>
      <c r="BB5" s="18">
        <v>24</v>
      </c>
      <c r="BC5" s="18">
        <v>180</v>
      </c>
      <c r="BD5" s="18">
        <v>240</v>
      </c>
      <c r="BE5" s="18">
        <v>24</v>
      </c>
      <c r="BF5" s="18">
        <v>24</v>
      </c>
      <c r="BG5" s="18">
        <v>18</v>
      </c>
      <c r="BH5" s="18">
        <f t="shared" ref="BH5:BH19" si="2">BF5-BG5</f>
        <v>6</v>
      </c>
      <c r="BI5" s="18">
        <v>1.5</v>
      </c>
      <c r="BJ5" s="18">
        <v>35</v>
      </c>
      <c r="BK5" s="18"/>
      <c r="BL5" s="103">
        <v>40</v>
      </c>
      <c r="BM5" s="23">
        <v>20</v>
      </c>
      <c r="BN5" s="22">
        <v>1</v>
      </c>
      <c r="BO5" s="22">
        <v>0.5</v>
      </c>
      <c r="BP5" s="103">
        <v>25</v>
      </c>
      <c r="BQ5" s="23">
        <v>12</v>
      </c>
      <c r="BR5" s="23"/>
      <c r="BS5" s="103" t="s">
        <v>106</v>
      </c>
      <c r="BT5" s="103" t="s">
        <v>107</v>
      </c>
      <c r="BU5" s="19" t="s">
        <v>108</v>
      </c>
    </row>
    <row r="6" spans="1:73" ht="165">
      <c r="A6" s="12" t="s">
        <v>103</v>
      </c>
      <c r="B6" s="103" t="s">
        <v>175</v>
      </c>
      <c r="C6" s="103">
        <v>60</v>
      </c>
      <c r="D6" s="103">
        <v>120</v>
      </c>
      <c r="E6" s="18">
        <v>8</v>
      </c>
      <c r="F6" s="18">
        <v>40</v>
      </c>
      <c r="G6" s="18">
        <v>96</v>
      </c>
      <c r="H6" s="18">
        <v>6</v>
      </c>
      <c r="I6" s="18">
        <v>6</v>
      </c>
      <c r="J6" s="18">
        <v>7</v>
      </c>
      <c r="K6" s="18">
        <f t="shared" si="0"/>
        <v>1</v>
      </c>
      <c r="L6" s="18">
        <v>1.5</v>
      </c>
      <c r="M6" s="18">
        <v>25</v>
      </c>
      <c r="N6" s="18"/>
      <c r="O6" s="103">
        <v>25</v>
      </c>
      <c r="P6" s="103">
        <v>12</v>
      </c>
      <c r="Q6" s="18">
        <v>1</v>
      </c>
      <c r="R6" s="103">
        <v>20</v>
      </c>
      <c r="S6" s="103">
        <v>10</v>
      </c>
      <c r="T6" s="103">
        <v>35</v>
      </c>
      <c r="U6" s="103" t="s">
        <v>106</v>
      </c>
      <c r="V6" s="103" t="s">
        <v>107</v>
      </c>
      <c r="W6" s="19" t="s">
        <v>108</v>
      </c>
      <c r="X6" s="24"/>
      <c r="Y6" s="12" t="s">
        <v>109</v>
      </c>
      <c r="Z6" s="103" t="s">
        <v>175</v>
      </c>
      <c r="AA6" s="103">
        <v>60</v>
      </c>
      <c r="AB6" s="103">
        <v>192</v>
      </c>
      <c r="AC6" s="18">
        <v>13</v>
      </c>
      <c r="AD6" s="18">
        <v>181</v>
      </c>
      <c r="AE6" s="103">
        <v>240</v>
      </c>
      <c r="AF6" s="18">
        <v>6</v>
      </c>
      <c r="AG6" s="18">
        <v>6</v>
      </c>
      <c r="AH6" s="18">
        <v>13</v>
      </c>
      <c r="AI6" s="18">
        <f t="shared" si="1"/>
        <v>7</v>
      </c>
      <c r="AJ6" s="18">
        <v>2</v>
      </c>
      <c r="AK6" s="22">
        <v>1.5</v>
      </c>
      <c r="AL6" s="22">
        <v>1.5</v>
      </c>
      <c r="AM6" s="18">
        <v>40</v>
      </c>
      <c r="AN6" s="18"/>
      <c r="AO6" s="103">
        <v>40</v>
      </c>
      <c r="AP6" s="23">
        <v>20</v>
      </c>
      <c r="AQ6" s="103">
        <v>30</v>
      </c>
      <c r="AR6" s="23">
        <v>15</v>
      </c>
      <c r="AS6" s="103">
        <v>17.5</v>
      </c>
      <c r="AT6" s="103" t="s">
        <v>106</v>
      </c>
      <c r="AU6" s="103" t="s">
        <v>107</v>
      </c>
      <c r="AV6" s="19" t="s">
        <v>108</v>
      </c>
      <c r="AX6" s="12" t="s">
        <v>110</v>
      </c>
      <c r="AY6" s="103" t="s">
        <v>185</v>
      </c>
      <c r="AZ6" s="103">
        <v>96</v>
      </c>
      <c r="BA6" s="103">
        <v>228</v>
      </c>
      <c r="BB6" s="18">
        <v>23</v>
      </c>
      <c r="BC6" s="18">
        <v>241</v>
      </c>
      <c r="BD6" s="18">
        <v>300</v>
      </c>
      <c r="BE6" s="18">
        <v>23</v>
      </c>
      <c r="BF6" s="18">
        <v>23</v>
      </c>
      <c r="BG6" s="18">
        <v>18</v>
      </c>
      <c r="BH6" s="18">
        <f t="shared" si="2"/>
        <v>5</v>
      </c>
      <c r="BI6" s="18">
        <v>2</v>
      </c>
      <c r="BJ6" s="18">
        <v>40</v>
      </c>
      <c r="BK6" s="18"/>
      <c r="BL6" s="103">
        <v>45</v>
      </c>
      <c r="BM6" s="23">
        <v>22</v>
      </c>
      <c r="BN6" s="22">
        <v>1</v>
      </c>
      <c r="BO6" s="22">
        <v>1</v>
      </c>
      <c r="BP6" s="103">
        <v>25</v>
      </c>
      <c r="BQ6" s="23">
        <v>12</v>
      </c>
      <c r="BR6" s="23"/>
      <c r="BS6" s="103" t="s">
        <v>106</v>
      </c>
      <c r="BT6" s="103" t="s">
        <v>107</v>
      </c>
      <c r="BU6" s="19" t="s">
        <v>108</v>
      </c>
    </row>
    <row r="7" spans="1:73" ht="165">
      <c r="A7" s="12" t="s">
        <v>103</v>
      </c>
      <c r="B7" s="103" t="s">
        <v>175</v>
      </c>
      <c r="C7" s="103">
        <v>60</v>
      </c>
      <c r="D7" s="103">
        <v>120</v>
      </c>
      <c r="E7" s="18">
        <v>7</v>
      </c>
      <c r="F7" s="18">
        <v>40</v>
      </c>
      <c r="G7" s="18">
        <v>96</v>
      </c>
      <c r="H7" s="18">
        <v>7</v>
      </c>
      <c r="I7" s="18">
        <v>7</v>
      </c>
      <c r="J7" s="18">
        <v>7</v>
      </c>
      <c r="K7" s="25">
        <f t="shared" si="0"/>
        <v>0</v>
      </c>
      <c r="L7" s="18">
        <v>1.5</v>
      </c>
      <c r="M7" s="18">
        <v>25</v>
      </c>
      <c r="N7" s="18"/>
      <c r="O7" s="103">
        <v>25</v>
      </c>
      <c r="P7" s="103">
        <v>12</v>
      </c>
      <c r="Q7" s="18">
        <v>1</v>
      </c>
      <c r="R7" s="103">
        <v>20</v>
      </c>
      <c r="S7" s="103">
        <v>10</v>
      </c>
      <c r="T7" s="103">
        <v>35</v>
      </c>
      <c r="U7" s="103" t="s">
        <v>106</v>
      </c>
      <c r="V7" s="103" t="s">
        <v>107</v>
      </c>
      <c r="W7" s="19" t="s">
        <v>108</v>
      </c>
      <c r="X7" s="24"/>
      <c r="Y7" s="12" t="s">
        <v>109</v>
      </c>
      <c r="Z7" s="103" t="s">
        <v>175</v>
      </c>
      <c r="AA7" s="103">
        <v>60</v>
      </c>
      <c r="AB7" s="103">
        <v>192</v>
      </c>
      <c r="AC7" s="18">
        <v>12</v>
      </c>
      <c r="AD7" s="18">
        <v>241</v>
      </c>
      <c r="AE7" s="103">
        <v>300</v>
      </c>
      <c r="AF7" s="18">
        <v>7</v>
      </c>
      <c r="AG7" s="18">
        <v>7</v>
      </c>
      <c r="AH7" s="18">
        <v>13</v>
      </c>
      <c r="AI7" s="18">
        <f t="shared" si="1"/>
        <v>6</v>
      </c>
      <c r="AJ7" s="18">
        <v>2</v>
      </c>
      <c r="AK7" s="22">
        <v>1.5</v>
      </c>
      <c r="AL7" s="22">
        <v>1.5</v>
      </c>
      <c r="AM7" s="18">
        <v>40</v>
      </c>
      <c r="AN7" s="18"/>
      <c r="AO7" s="103">
        <v>40</v>
      </c>
      <c r="AP7" s="23">
        <v>20</v>
      </c>
      <c r="AQ7" s="103">
        <v>30</v>
      </c>
      <c r="AR7" s="23">
        <v>15</v>
      </c>
      <c r="AS7" s="103">
        <v>17.5</v>
      </c>
      <c r="AT7" s="103" t="s">
        <v>106</v>
      </c>
      <c r="AU7" s="103" t="s">
        <v>107</v>
      </c>
      <c r="AV7" s="19" t="s">
        <v>108</v>
      </c>
      <c r="AX7" s="12" t="s">
        <v>110</v>
      </c>
      <c r="AY7" s="103" t="s">
        <v>185</v>
      </c>
      <c r="AZ7" s="103">
        <v>96</v>
      </c>
      <c r="BA7" s="103">
        <v>228</v>
      </c>
      <c r="BB7" s="18">
        <v>22</v>
      </c>
      <c r="BC7" s="18">
        <v>241</v>
      </c>
      <c r="BD7" s="18">
        <v>300</v>
      </c>
      <c r="BE7" s="18">
        <v>22</v>
      </c>
      <c r="BF7" s="18">
        <v>22</v>
      </c>
      <c r="BG7" s="18">
        <v>18</v>
      </c>
      <c r="BH7" s="18">
        <f t="shared" si="2"/>
        <v>4</v>
      </c>
      <c r="BI7" s="18">
        <v>2</v>
      </c>
      <c r="BJ7" s="18">
        <v>40</v>
      </c>
      <c r="BK7" s="18"/>
      <c r="BL7" s="103">
        <v>45</v>
      </c>
      <c r="BM7" s="23">
        <v>22</v>
      </c>
      <c r="BN7" s="22">
        <v>1</v>
      </c>
      <c r="BO7" s="22">
        <v>1</v>
      </c>
      <c r="BP7" s="103">
        <v>25</v>
      </c>
      <c r="BQ7" s="23">
        <v>12</v>
      </c>
      <c r="BR7" s="23"/>
      <c r="BS7" s="103" t="s">
        <v>106</v>
      </c>
      <c r="BT7" s="103" t="s">
        <v>107</v>
      </c>
      <c r="BU7" s="19" t="s">
        <v>108</v>
      </c>
    </row>
    <row r="8" spans="1:73" ht="165">
      <c r="A8" s="12" t="s">
        <v>103</v>
      </c>
      <c r="B8" s="103" t="s">
        <v>175</v>
      </c>
      <c r="C8" s="103">
        <v>60</v>
      </c>
      <c r="D8" s="103">
        <v>120</v>
      </c>
      <c r="E8" s="18">
        <v>6</v>
      </c>
      <c r="F8" s="18">
        <v>40</v>
      </c>
      <c r="G8" s="18">
        <v>96</v>
      </c>
      <c r="H8" s="18">
        <v>7</v>
      </c>
      <c r="I8" s="18">
        <v>7</v>
      </c>
      <c r="J8" s="18">
        <v>7</v>
      </c>
      <c r="K8" s="25">
        <f t="shared" si="0"/>
        <v>0</v>
      </c>
      <c r="L8" s="18">
        <v>1.5</v>
      </c>
      <c r="M8" s="18">
        <v>25</v>
      </c>
      <c r="N8" s="18"/>
      <c r="O8" s="103">
        <v>25</v>
      </c>
      <c r="P8" s="103">
        <v>12</v>
      </c>
      <c r="Q8" s="18">
        <v>1</v>
      </c>
      <c r="R8" s="103">
        <v>20</v>
      </c>
      <c r="S8" s="103">
        <v>10</v>
      </c>
      <c r="T8" s="103">
        <v>35</v>
      </c>
      <c r="U8" s="103" t="s">
        <v>106</v>
      </c>
      <c r="V8" s="103" t="s">
        <v>107</v>
      </c>
      <c r="W8" s="19" t="s">
        <v>108</v>
      </c>
      <c r="X8" s="24"/>
      <c r="Y8" s="12" t="s">
        <v>109</v>
      </c>
      <c r="Z8" s="103" t="s">
        <v>175</v>
      </c>
      <c r="AA8" s="103">
        <v>60</v>
      </c>
      <c r="AB8" s="103">
        <v>192</v>
      </c>
      <c r="AC8" s="18">
        <v>11</v>
      </c>
      <c r="AD8" s="18">
        <v>241</v>
      </c>
      <c r="AE8" s="103">
        <v>300</v>
      </c>
      <c r="AF8" s="18">
        <v>8</v>
      </c>
      <c r="AG8" s="18">
        <v>8</v>
      </c>
      <c r="AH8" s="18">
        <v>13</v>
      </c>
      <c r="AI8" s="18">
        <f t="shared" si="1"/>
        <v>5</v>
      </c>
      <c r="AJ8" s="18">
        <v>2</v>
      </c>
      <c r="AK8" s="22">
        <v>1.5</v>
      </c>
      <c r="AL8" s="22">
        <v>1.5</v>
      </c>
      <c r="AM8" s="18">
        <v>40</v>
      </c>
      <c r="AN8" s="18"/>
      <c r="AO8" s="103">
        <v>40</v>
      </c>
      <c r="AP8" s="23">
        <v>20</v>
      </c>
      <c r="AQ8" s="103">
        <v>30</v>
      </c>
      <c r="AR8" s="23">
        <v>15</v>
      </c>
      <c r="AS8" s="103">
        <v>17.5</v>
      </c>
      <c r="AT8" s="103" t="s">
        <v>106</v>
      </c>
      <c r="AU8" s="103" t="s">
        <v>107</v>
      </c>
      <c r="AV8" s="19" t="s">
        <v>108</v>
      </c>
      <c r="AX8" s="12" t="s">
        <v>110</v>
      </c>
      <c r="AY8" s="103" t="s">
        <v>185</v>
      </c>
      <c r="AZ8" s="103">
        <v>96</v>
      </c>
      <c r="BA8" s="103">
        <v>228</v>
      </c>
      <c r="BB8" s="18">
        <v>21</v>
      </c>
      <c r="BC8" s="18">
        <v>241</v>
      </c>
      <c r="BD8" s="18">
        <v>300</v>
      </c>
      <c r="BE8" s="18">
        <v>21</v>
      </c>
      <c r="BF8" s="18">
        <v>21</v>
      </c>
      <c r="BG8" s="18">
        <v>18</v>
      </c>
      <c r="BH8" s="18">
        <f t="shared" si="2"/>
        <v>3</v>
      </c>
      <c r="BI8" s="18">
        <v>2</v>
      </c>
      <c r="BJ8" s="18">
        <v>40</v>
      </c>
      <c r="BK8" s="18"/>
      <c r="BL8" s="103">
        <v>45</v>
      </c>
      <c r="BM8" s="23">
        <v>22</v>
      </c>
      <c r="BN8" s="22">
        <v>1</v>
      </c>
      <c r="BO8" s="22">
        <v>1</v>
      </c>
      <c r="BP8" s="103">
        <v>25</v>
      </c>
      <c r="BQ8" s="23">
        <v>12</v>
      </c>
      <c r="BR8" s="23"/>
      <c r="BS8" s="103" t="s">
        <v>106</v>
      </c>
      <c r="BT8" s="103" t="s">
        <v>107</v>
      </c>
      <c r="BU8" s="19" t="s">
        <v>108</v>
      </c>
    </row>
    <row r="9" spans="1:73" ht="165">
      <c r="A9" s="12" t="s">
        <v>103</v>
      </c>
      <c r="B9" s="103" t="s">
        <v>175</v>
      </c>
      <c r="C9" s="103">
        <v>60</v>
      </c>
      <c r="D9" s="103">
        <v>120</v>
      </c>
      <c r="E9" s="18">
        <v>5</v>
      </c>
      <c r="F9" s="18">
        <v>40</v>
      </c>
      <c r="G9" s="18">
        <v>96</v>
      </c>
      <c r="H9" s="18">
        <v>7</v>
      </c>
      <c r="I9" s="18">
        <v>7</v>
      </c>
      <c r="J9" s="18">
        <v>7</v>
      </c>
      <c r="K9" s="25">
        <f t="shared" si="0"/>
        <v>0</v>
      </c>
      <c r="L9" s="18">
        <v>1.5</v>
      </c>
      <c r="M9" s="18">
        <v>25</v>
      </c>
      <c r="N9" s="18"/>
      <c r="O9" s="103">
        <v>25</v>
      </c>
      <c r="P9" s="103">
        <v>12</v>
      </c>
      <c r="Q9" s="18">
        <v>1</v>
      </c>
      <c r="R9" s="103">
        <v>20</v>
      </c>
      <c r="S9" s="103">
        <v>10</v>
      </c>
      <c r="T9" s="103">
        <v>35</v>
      </c>
      <c r="U9" s="103" t="s">
        <v>106</v>
      </c>
      <c r="V9" s="103" t="s">
        <v>107</v>
      </c>
      <c r="W9" s="19" t="s">
        <v>108</v>
      </c>
      <c r="X9" s="24"/>
      <c r="Y9" s="12" t="s">
        <v>109</v>
      </c>
      <c r="Z9" s="103" t="s">
        <v>175</v>
      </c>
      <c r="AA9" s="103">
        <v>60</v>
      </c>
      <c r="AB9" s="103">
        <v>192</v>
      </c>
      <c r="AC9" s="18">
        <v>10</v>
      </c>
      <c r="AD9" s="18">
        <v>241</v>
      </c>
      <c r="AE9" s="103">
        <v>300</v>
      </c>
      <c r="AF9" s="18">
        <v>9</v>
      </c>
      <c r="AG9" s="18">
        <v>9</v>
      </c>
      <c r="AH9" s="18">
        <v>13</v>
      </c>
      <c r="AI9" s="18">
        <f t="shared" si="1"/>
        <v>4</v>
      </c>
      <c r="AJ9" s="18">
        <v>2</v>
      </c>
      <c r="AK9" s="22">
        <v>1.5</v>
      </c>
      <c r="AL9" s="22">
        <v>1.5</v>
      </c>
      <c r="AM9" s="18">
        <v>40</v>
      </c>
      <c r="AN9" s="18"/>
      <c r="AO9" s="103">
        <v>40</v>
      </c>
      <c r="AP9" s="23">
        <v>20</v>
      </c>
      <c r="AQ9" s="103">
        <v>30</v>
      </c>
      <c r="AR9" s="23">
        <v>15</v>
      </c>
      <c r="AS9" s="103">
        <v>17.5</v>
      </c>
      <c r="AT9" s="103" t="s">
        <v>106</v>
      </c>
      <c r="AU9" s="103" t="s">
        <v>107</v>
      </c>
      <c r="AV9" s="19" t="s">
        <v>108</v>
      </c>
      <c r="AX9" s="12" t="s">
        <v>110</v>
      </c>
      <c r="AY9" s="103" t="s">
        <v>185</v>
      </c>
      <c r="AZ9" s="103">
        <v>96</v>
      </c>
      <c r="BA9" s="103">
        <v>228</v>
      </c>
      <c r="BB9" s="18">
        <v>20</v>
      </c>
      <c r="BC9" s="18">
        <v>241</v>
      </c>
      <c r="BD9" s="18">
        <v>300</v>
      </c>
      <c r="BE9" s="18">
        <v>20</v>
      </c>
      <c r="BF9" s="18">
        <v>20</v>
      </c>
      <c r="BG9" s="18">
        <v>18</v>
      </c>
      <c r="BH9" s="18">
        <f t="shared" si="2"/>
        <v>2</v>
      </c>
      <c r="BI9" s="18">
        <v>2</v>
      </c>
      <c r="BJ9" s="18">
        <v>40</v>
      </c>
      <c r="BK9" s="18"/>
      <c r="BL9" s="103">
        <v>45</v>
      </c>
      <c r="BM9" s="23">
        <v>22</v>
      </c>
      <c r="BN9" s="22">
        <v>1</v>
      </c>
      <c r="BO9" s="22">
        <v>1</v>
      </c>
      <c r="BP9" s="103">
        <v>25</v>
      </c>
      <c r="BQ9" s="23">
        <v>12</v>
      </c>
      <c r="BR9" s="23"/>
      <c r="BS9" s="103" t="s">
        <v>106</v>
      </c>
      <c r="BT9" s="103" t="s">
        <v>107</v>
      </c>
      <c r="BU9" s="19" t="s">
        <v>108</v>
      </c>
    </row>
    <row r="10" spans="1:73" ht="165.75" thickBot="1">
      <c r="A10" s="27" t="s">
        <v>103</v>
      </c>
      <c r="B10" s="28" t="s">
        <v>175</v>
      </c>
      <c r="C10" s="28">
        <v>60</v>
      </c>
      <c r="D10" s="28">
        <v>120</v>
      </c>
      <c r="E10" s="29">
        <v>4</v>
      </c>
      <c r="F10" s="29">
        <v>40</v>
      </c>
      <c r="G10" s="29">
        <v>96</v>
      </c>
      <c r="H10" s="29">
        <v>7</v>
      </c>
      <c r="I10" s="29">
        <v>7</v>
      </c>
      <c r="J10" s="29">
        <v>7</v>
      </c>
      <c r="K10" s="33">
        <f t="shared" si="0"/>
        <v>0</v>
      </c>
      <c r="L10" s="29">
        <v>1.5</v>
      </c>
      <c r="M10" s="29">
        <v>25</v>
      </c>
      <c r="N10" s="29"/>
      <c r="O10" s="28">
        <v>25</v>
      </c>
      <c r="P10" s="28">
        <v>12</v>
      </c>
      <c r="Q10" s="29">
        <v>1</v>
      </c>
      <c r="R10" s="28">
        <v>20</v>
      </c>
      <c r="S10" s="28">
        <v>10</v>
      </c>
      <c r="T10" s="28">
        <v>35</v>
      </c>
      <c r="U10" s="28" t="s">
        <v>106</v>
      </c>
      <c r="V10" s="28" t="s">
        <v>107</v>
      </c>
      <c r="W10" s="30" t="s">
        <v>108</v>
      </c>
      <c r="X10" s="24"/>
      <c r="Y10" s="12" t="s">
        <v>109</v>
      </c>
      <c r="Z10" s="103" t="s">
        <v>175</v>
      </c>
      <c r="AA10" s="103">
        <v>60</v>
      </c>
      <c r="AB10" s="103">
        <v>192</v>
      </c>
      <c r="AC10" s="18">
        <v>9</v>
      </c>
      <c r="AD10" s="18">
        <v>241</v>
      </c>
      <c r="AE10" s="103">
        <v>300</v>
      </c>
      <c r="AF10" s="18">
        <v>10</v>
      </c>
      <c r="AG10" s="18">
        <v>10</v>
      </c>
      <c r="AH10" s="18">
        <v>13</v>
      </c>
      <c r="AI10" s="18">
        <f t="shared" si="1"/>
        <v>3</v>
      </c>
      <c r="AJ10" s="18">
        <v>2</v>
      </c>
      <c r="AK10" s="22">
        <v>1.5</v>
      </c>
      <c r="AL10" s="22">
        <v>1.5</v>
      </c>
      <c r="AM10" s="18">
        <v>40</v>
      </c>
      <c r="AN10" s="18"/>
      <c r="AO10" s="103">
        <v>40</v>
      </c>
      <c r="AP10" s="23">
        <v>20</v>
      </c>
      <c r="AQ10" s="103">
        <v>30</v>
      </c>
      <c r="AR10" s="23">
        <v>15</v>
      </c>
      <c r="AS10" s="103">
        <v>17.5</v>
      </c>
      <c r="AT10" s="103" t="s">
        <v>106</v>
      </c>
      <c r="AU10" s="103" t="s">
        <v>107</v>
      </c>
      <c r="AV10" s="19" t="s">
        <v>108</v>
      </c>
      <c r="AX10" s="12" t="s">
        <v>110</v>
      </c>
      <c r="AY10" s="103" t="s">
        <v>185</v>
      </c>
      <c r="AZ10" s="103">
        <v>96</v>
      </c>
      <c r="BA10" s="103">
        <v>228</v>
      </c>
      <c r="BB10" s="18">
        <v>19</v>
      </c>
      <c r="BC10" s="18">
        <v>241</v>
      </c>
      <c r="BD10" s="18">
        <v>300</v>
      </c>
      <c r="BE10" s="18">
        <v>19</v>
      </c>
      <c r="BF10" s="18">
        <v>19</v>
      </c>
      <c r="BG10" s="18">
        <v>18</v>
      </c>
      <c r="BH10" s="18">
        <f t="shared" si="2"/>
        <v>1</v>
      </c>
      <c r="BI10" s="18">
        <v>2</v>
      </c>
      <c r="BJ10" s="18">
        <v>40</v>
      </c>
      <c r="BK10" s="18"/>
      <c r="BL10" s="103">
        <v>45</v>
      </c>
      <c r="BM10" s="23">
        <v>22</v>
      </c>
      <c r="BN10" s="22">
        <v>1</v>
      </c>
      <c r="BO10" s="22">
        <v>1</v>
      </c>
      <c r="BP10" s="103">
        <v>25</v>
      </c>
      <c r="BQ10" s="23">
        <v>12</v>
      </c>
      <c r="BR10" s="23"/>
      <c r="BS10" s="103" t="s">
        <v>106</v>
      </c>
      <c r="BT10" s="103" t="s">
        <v>107</v>
      </c>
      <c r="BU10" s="19" t="s">
        <v>108</v>
      </c>
    </row>
    <row r="11" spans="1:73" ht="16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12" t="s">
        <v>109</v>
      </c>
      <c r="Z11" s="103" t="s">
        <v>175</v>
      </c>
      <c r="AA11" s="103">
        <v>60</v>
      </c>
      <c r="AB11" s="103">
        <v>192</v>
      </c>
      <c r="AC11" s="18">
        <v>8</v>
      </c>
      <c r="AD11" s="18">
        <v>241</v>
      </c>
      <c r="AE11" s="103">
        <v>300</v>
      </c>
      <c r="AF11" s="18">
        <v>11</v>
      </c>
      <c r="AG11" s="18">
        <v>11</v>
      </c>
      <c r="AH11" s="18">
        <v>13</v>
      </c>
      <c r="AI11" s="18">
        <f t="shared" si="1"/>
        <v>2</v>
      </c>
      <c r="AJ11" s="18">
        <v>2</v>
      </c>
      <c r="AK11" s="22">
        <v>1.5</v>
      </c>
      <c r="AL11" s="22">
        <v>1.5</v>
      </c>
      <c r="AM11" s="18">
        <v>40</v>
      </c>
      <c r="AN11" s="18"/>
      <c r="AO11" s="103">
        <v>40</v>
      </c>
      <c r="AP11" s="23">
        <v>20</v>
      </c>
      <c r="AQ11" s="103">
        <v>30</v>
      </c>
      <c r="AR11" s="23">
        <v>15</v>
      </c>
      <c r="AS11" s="103">
        <v>17.5</v>
      </c>
      <c r="AT11" s="103" t="s">
        <v>106</v>
      </c>
      <c r="AU11" s="103" t="s">
        <v>107</v>
      </c>
      <c r="AV11" s="19" t="s">
        <v>108</v>
      </c>
      <c r="AX11" s="12" t="s">
        <v>110</v>
      </c>
      <c r="AY11" s="103" t="s">
        <v>185</v>
      </c>
      <c r="AZ11" s="103">
        <v>96</v>
      </c>
      <c r="BA11" s="103">
        <v>228</v>
      </c>
      <c r="BB11" s="126">
        <v>18</v>
      </c>
      <c r="BC11" s="18">
        <v>241</v>
      </c>
      <c r="BD11" s="18">
        <v>300</v>
      </c>
      <c r="BE11" s="25">
        <v>18</v>
      </c>
      <c r="BF11" s="25">
        <v>18</v>
      </c>
      <c r="BG11" s="25">
        <v>18</v>
      </c>
      <c r="BH11" s="25">
        <f t="shared" si="2"/>
        <v>0</v>
      </c>
      <c r="BI11" s="18">
        <v>2</v>
      </c>
      <c r="BJ11" s="18">
        <v>40</v>
      </c>
      <c r="BK11" s="18"/>
      <c r="BL11" s="103">
        <v>45</v>
      </c>
      <c r="BM11" s="23">
        <v>22</v>
      </c>
      <c r="BN11" s="22">
        <v>1</v>
      </c>
      <c r="BO11" s="22">
        <v>1</v>
      </c>
      <c r="BP11" s="103">
        <v>25</v>
      </c>
      <c r="BQ11" s="23">
        <v>12</v>
      </c>
      <c r="BR11" s="23"/>
      <c r="BS11" s="103" t="s">
        <v>106</v>
      </c>
      <c r="BT11" s="103" t="s">
        <v>107</v>
      </c>
      <c r="BU11" s="19" t="s">
        <v>108</v>
      </c>
    </row>
    <row r="12" spans="1:73" ht="165">
      <c r="X12" s="9"/>
      <c r="Y12" s="12" t="s">
        <v>109</v>
      </c>
      <c r="Z12" s="103" t="s">
        <v>175</v>
      </c>
      <c r="AA12" s="103">
        <v>60</v>
      </c>
      <c r="AB12" s="103">
        <v>192</v>
      </c>
      <c r="AC12" s="18">
        <v>7</v>
      </c>
      <c r="AD12" s="18">
        <v>241</v>
      </c>
      <c r="AE12" s="103">
        <v>300</v>
      </c>
      <c r="AF12" s="18">
        <v>12</v>
      </c>
      <c r="AG12" s="18">
        <v>12</v>
      </c>
      <c r="AH12" s="18">
        <v>13</v>
      </c>
      <c r="AI12" s="18">
        <f t="shared" si="1"/>
        <v>1</v>
      </c>
      <c r="AJ12" s="18">
        <v>2</v>
      </c>
      <c r="AK12" s="22">
        <v>1.5</v>
      </c>
      <c r="AL12" s="22">
        <v>1.5</v>
      </c>
      <c r="AM12" s="18">
        <v>40</v>
      </c>
      <c r="AN12" s="18"/>
      <c r="AO12" s="103">
        <v>40</v>
      </c>
      <c r="AP12" s="23">
        <v>20</v>
      </c>
      <c r="AQ12" s="103">
        <v>30</v>
      </c>
      <c r="AR12" s="23">
        <v>15</v>
      </c>
      <c r="AS12" s="103">
        <v>17.5</v>
      </c>
      <c r="AT12" s="103" t="s">
        <v>106</v>
      </c>
      <c r="AU12" s="103" t="s">
        <v>107</v>
      </c>
      <c r="AV12" s="19" t="s">
        <v>108</v>
      </c>
      <c r="AX12" s="12" t="s">
        <v>110</v>
      </c>
      <c r="AY12" s="103" t="s">
        <v>185</v>
      </c>
      <c r="AZ12" s="103">
        <v>96</v>
      </c>
      <c r="BA12" s="103">
        <v>228</v>
      </c>
      <c r="BB12" s="126">
        <v>17</v>
      </c>
      <c r="BC12" s="18">
        <v>241</v>
      </c>
      <c r="BD12" s="18">
        <v>300</v>
      </c>
      <c r="BE12" s="25">
        <v>17</v>
      </c>
      <c r="BF12" s="25">
        <v>17</v>
      </c>
      <c r="BG12" s="25">
        <v>18</v>
      </c>
      <c r="BH12" s="25">
        <f t="shared" si="2"/>
        <v>-1</v>
      </c>
      <c r="BI12" s="18">
        <v>2</v>
      </c>
      <c r="BJ12" s="18">
        <v>40</v>
      </c>
      <c r="BK12" s="18"/>
      <c r="BL12" s="103">
        <v>45</v>
      </c>
      <c r="BM12" s="23">
        <v>22</v>
      </c>
      <c r="BN12" s="22">
        <v>1</v>
      </c>
      <c r="BO12" s="22">
        <v>1</v>
      </c>
      <c r="BP12" s="103">
        <v>25</v>
      </c>
      <c r="BQ12" s="23">
        <v>12</v>
      </c>
      <c r="BR12" s="23"/>
      <c r="BS12" s="103" t="s">
        <v>106</v>
      </c>
      <c r="BT12" s="103" t="s">
        <v>107</v>
      </c>
      <c r="BU12" s="19" t="s">
        <v>108</v>
      </c>
    </row>
    <row r="13" spans="1:73" ht="165.75" thickBot="1">
      <c r="X13" s="42"/>
      <c r="Y13" s="27" t="s">
        <v>109</v>
      </c>
      <c r="Z13" s="28" t="s">
        <v>175</v>
      </c>
      <c r="AA13" s="28">
        <v>60</v>
      </c>
      <c r="AB13" s="28">
        <v>192</v>
      </c>
      <c r="AC13" s="29">
        <v>6</v>
      </c>
      <c r="AD13" s="29">
        <v>241</v>
      </c>
      <c r="AE13" s="28">
        <v>300</v>
      </c>
      <c r="AF13" s="29">
        <v>12</v>
      </c>
      <c r="AG13" s="29">
        <v>12</v>
      </c>
      <c r="AH13" s="29">
        <v>13</v>
      </c>
      <c r="AI13" s="29">
        <f t="shared" si="1"/>
        <v>1</v>
      </c>
      <c r="AJ13" s="29">
        <v>2</v>
      </c>
      <c r="AK13" s="22">
        <v>1.5</v>
      </c>
      <c r="AL13" s="22">
        <v>1.5</v>
      </c>
      <c r="AM13" s="29">
        <v>40</v>
      </c>
      <c r="AN13" s="29"/>
      <c r="AO13" s="28">
        <v>40</v>
      </c>
      <c r="AP13" s="36">
        <v>20</v>
      </c>
      <c r="AQ13" s="28">
        <v>30</v>
      </c>
      <c r="AR13" s="36">
        <v>15</v>
      </c>
      <c r="AS13" s="28">
        <v>17.5</v>
      </c>
      <c r="AT13" s="28" t="s">
        <v>106</v>
      </c>
      <c r="AU13" s="28" t="s">
        <v>107</v>
      </c>
      <c r="AV13" s="30" t="s">
        <v>108</v>
      </c>
      <c r="AX13" s="12" t="s">
        <v>110</v>
      </c>
      <c r="AY13" s="103" t="s">
        <v>185</v>
      </c>
      <c r="AZ13" s="103">
        <v>96</v>
      </c>
      <c r="BA13" s="103">
        <v>228</v>
      </c>
      <c r="BB13" s="126">
        <v>16</v>
      </c>
      <c r="BC13" s="18">
        <v>241</v>
      </c>
      <c r="BD13" s="18">
        <v>300</v>
      </c>
      <c r="BE13" s="25">
        <v>16</v>
      </c>
      <c r="BF13" s="25">
        <v>16</v>
      </c>
      <c r="BG13" s="25">
        <v>18</v>
      </c>
      <c r="BH13" s="25">
        <f t="shared" si="2"/>
        <v>-2</v>
      </c>
      <c r="BI13" s="18">
        <v>2</v>
      </c>
      <c r="BJ13" s="18">
        <v>40</v>
      </c>
      <c r="BK13" s="18"/>
      <c r="BL13" s="103">
        <v>45</v>
      </c>
      <c r="BM13" s="23">
        <v>22</v>
      </c>
      <c r="BN13" s="22">
        <v>1</v>
      </c>
      <c r="BO13" s="22">
        <v>1</v>
      </c>
      <c r="BP13" s="103">
        <v>25</v>
      </c>
      <c r="BQ13" s="23">
        <v>12</v>
      </c>
      <c r="BR13" s="23"/>
      <c r="BS13" s="103" t="s">
        <v>106</v>
      </c>
      <c r="BT13" s="103" t="s">
        <v>107</v>
      </c>
      <c r="BU13" s="19" t="s">
        <v>108</v>
      </c>
    </row>
    <row r="14" spans="1:73" ht="165.75" thickBot="1">
      <c r="X14" s="42"/>
      <c r="Y14" s="42"/>
      <c r="Z14" s="42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10"/>
      <c r="AQ14" s="10"/>
      <c r="AR14" s="10"/>
      <c r="AS14" s="10"/>
      <c r="AT14" s="10"/>
      <c r="AU14" s="10"/>
      <c r="AV14" s="10"/>
      <c r="AX14" s="12" t="s">
        <v>110</v>
      </c>
      <c r="AY14" s="103" t="s">
        <v>185</v>
      </c>
      <c r="AZ14" s="103">
        <v>96</v>
      </c>
      <c r="BA14" s="103">
        <v>228</v>
      </c>
      <c r="BB14" s="126">
        <v>15</v>
      </c>
      <c r="BC14" s="18">
        <v>241</v>
      </c>
      <c r="BD14" s="18">
        <v>300</v>
      </c>
      <c r="BE14" s="25">
        <v>15</v>
      </c>
      <c r="BF14" s="25">
        <v>15</v>
      </c>
      <c r="BG14" s="25">
        <v>18</v>
      </c>
      <c r="BH14" s="25">
        <f t="shared" si="2"/>
        <v>-3</v>
      </c>
      <c r="BI14" s="18">
        <v>2</v>
      </c>
      <c r="BJ14" s="18">
        <v>40</v>
      </c>
      <c r="BK14" s="18"/>
      <c r="BL14" s="103">
        <v>45</v>
      </c>
      <c r="BM14" s="23">
        <v>22</v>
      </c>
      <c r="BN14" s="22">
        <v>1</v>
      </c>
      <c r="BO14" s="22">
        <v>1</v>
      </c>
      <c r="BP14" s="103">
        <v>25</v>
      </c>
      <c r="BQ14" s="23">
        <v>12</v>
      </c>
      <c r="BR14" s="23"/>
      <c r="BS14" s="103" t="s">
        <v>106</v>
      </c>
      <c r="BT14" s="103" t="s">
        <v>107</v>
      </c>
      <c r="BU14" s="19" t="s">
        <v>108</v>
      </c>
    </row>
    <row r="15" spans="1:73" ht="165.75" thickBot="1">
      <c r="A15" s="152" t="s">
        <v>186</v>
      </c>
      <c r="B15" s="153"/>
      <c r="C15" s="153"/>
      <c r="D15" s="153"/>
      <c r="E15" s="153"/>
      <c r="F15" s="153"/>
      <c r="G15" s="153"/>
      <c r="H15" s="153"/>
      <c r="I15" s="153"/>
      <c r="J15" s="153"/>
      <c r="K15" s="153"/>
      <c r="L15" s="153"/>
      <c r="M15" s="153"/>
      <c r="N15" s="153"/>
      <c r="O15" s="153"/>
      <c r="P15" s="153"/>
      <c r="Q15" s="153"/>
      <c r="R15" s="153"/>
      <c r="S15" s="153"/>
      <c r="T15" s="153"/>
      <c r="U15" s="153"/>
      <c r="V15" s="153"/>
      <c r="W15" s="154"/>
      <c r="X15" s="10"/>
      <c r="Y15" s="149" t="s">
        <v>112</v>
      </c>
      <c r="Z15" s="150"/>
      <c r="AA15" s="150"/>
      <c r="AB15" s="150"/>
      <c r="AC15" s="150"/>
      <c r="AD15" s="150"/>
      <c r="AE15" s="150"/>
      <c r="AF15" s="150"/>
      <c r="AG15" s="150"/>
      <c r="AH15" s="150"/>
      <c r="AI15" s="150"/>
      <c r="AJ15" s="150"/>
      <c r="AK15" s="150"/>
      <c r="AL15" s="150"/>
      <c r="AM15" s="150"/>
      <c r="AN15" s="150"/>
      <c r="AO15" s="150"/>
      <c r="AP15" s="150"/>
      <c r="AQ15" s="150"/>
      <c r="AR15" s="150"/>
      <c r="AS15" s="150"/>
      <c r="AT15" s="150"/>
      <c r="AU15" s="150"/>
      <c r="AV15" s="151"/>
      <c r="AX15" s="12" t="s">
        <v>110</v>
      </c>
      <c r="AY15" s="103" t="s">
        <v>185</v>
      </c>
      <c r="AZ15" s="103">
        <v>96</v>
      </c>
      <c r="BA15" s="103">
        <v>228</v>
      </c>
      <c r="BB15" s="126">
        <v>14</v>
      </c>
      <c r="BC15" s="18">
        <v>241</v>
      </c>
      <c r="BD15" s="18">
        <v>300</v>
      </c>
      <c r="BE15" s="25">
        <v>14</v>
      </c>
      <c r="BF15" s="25">
        <v>14</v>
      </c>
      <c r="BG15" s="25">
        <v>18</v>
      </c>
      <c r="BH15" s="25">
        <f t="shared" si="2"/>
        <v>-4</v>
      </c>
      <c r="BI15" s="18">
        <v>2</v>
      </c>
      <c r="BJ15" s="18">
        <v>40</v>
      </c>
      <c r="BK15" s="18"/>
      <c r="BL15" s="103">
        <v>45</v>
      </c>
      <c r="BM15" s="23">
        <v>22</v>
      </c>
      <c r="BN15" s="22">
        <v>1</v>
      </c>
      <c r="BO15" s="22">
        <v>1</v>
      </c>
      <c r="BP15" s="103">
        <v>25</v>
      </c>
      <c r="BQ15" s="23">
        <v>12</v>
      </c>
      <c r="BR15" s="23"/>
      <c r="BS15" s="103" t="s">
        <v>106</v>
      </c>
      <c r="BT15" s="103" t="s">
        <v>107</v>
      </c>
      <c r="BU15" s="19" t="s">
        <v>108</v>
      </c>
    </row>
    <row r="16" spans="1:73" ht="165">
      <c r="A16" s="12" t="s">
        <v>77</v>
      </c>
      <c r="B16" s="103" t="s">
        <v>78</v>
      </c>
      <c r="C16" s="103" t="s">
        <v>79</v>
      </c>
      <c r="D16" s="103" t="s">
        <v>80</v>
      </c>
      <c r="E16" s="14" t="s">
        <v>81</v>
      </c>
      <c r="F16" s="14" t="s">
        <v>82</v>
      </c>
      <c r="G16" s="14" t="s">
        <v>83</v>
      </c>
      <c r="H16" s="14" t="s">
        <v>99</v>
      </c>
      <c r="I16" s="14" t="s">
        <v>100</v>
      </c>
      <c r="J16" s="14" t="s">
        <v>86</v>
      </c>
      <c r="K16" s="15" t="s">
        <v>87</v>
      </c>
      <c r="L16" s="14" t="s">
        <v>101</v>
      </c>
      <c r="M16" s="14" t="s">
        <v>89</v>
      </c>
      <c r="N16" s="14"/>
      <c r="O16" s="103" t="s">
        <v>179</v>
      </c>
      <c r="P16" s="103" t="s">
        <v>180</v>
      </c>
      <c r="Q16" s="14" t="s">
        <v>90</v>
      </c>
      <c r="R16" s="103" t="s">
        <v>181</v>
      </c>
      <c r="S16" s="103" t="s">
        <v>182</v>
      </c>
      <c r="T16" s="16" t="s">
        <v>93</v>
      </c>
      <c r="U16" s="16" t="s">
        <v>94</v>
      </c>
      <c r="V16" s="16" t="s">
        <v>95</v>
      </c>
      <c r="W16" s="17" t="s">
        <v>96</v>
      </c>
      <c r="X16" s="37"/>
      <c r="Y16" s="12" t="s">
        <v>97</v>
      </c>
      <c r="Z16" s="103" t="s">
        <v>78</v>
      </c>
      <c r="AA16" s="103" t="s">
        <v>79</v>
      </c>
      <c r="AB16" s="103" t="s">
        <v>80</v>
      </c>
      <c r="AC16" s="14" t="s">
        <v>81</v>
      </c>
      <c r="AD16" s="14" t="s">
        <v>187</v>
      </c>
      <c r="AE16" s="14" t="s">
        <v>188</v>
      </c>
      <c r="AF16" s="14" t="s">
        <v>99</v>
      </c>
      <c r="AG16" s="14" t="s">
        <v>100</v>
      </c>
      <c r="AH16" s="14" t="s">
        <v>86</v>
      </c>
      <c r="AI16" s="14" t="s">
        <v>87</v>
      </c>
      <c r="AJ16" s="14" t="s">
        <v>183</v>
      </c>
      <c r="AK16" s="14" t="s">
        <v>169</v>
      </c>
      <c r="AL16" s="14" t="s">
        <v>170</v>
      </c>
      <c r="AM16" s="14" t="s">
        <v>89</v>
      </c>
      <c r="AN16" s="14"/>
      <c r="AO16" s="103" t="s">
        <v>179</v>
      </c>
      <c r="AP16" s="103" t="s">
        <v>180</v>
      </c>
      <c r="AQ16" s="103" t="s">
        <v>181</v>
      </c>
      <c r="AR16" s="103" t="s">
        <v>182</v>
      </c>
      <c r="AS16" s="16" t="s">
        <v>93</v>
      </c>
      <c r="AT16" s="16" t="s">
        <v>94</v>
      </c>
      <c r="AU16" s="16" t="s">
        <v>95</v>
      </c>
      <c r="AV16" s="17" t="s">
        <v>96</v>
      </c>
      <c r="AX16" s="12" t="s">
        <v>110</v>
      </c>
      <c r="AY16" s="103" t="s">
        <v>185</v>
      </c>
      <c r="AZ16" s="103">
        <v>96</v>
      </c>
      <c r="BA16" s="103">
        <v>228</v>
      </c>
      <c r="BB16" s="126">
        <v>13</v>
      </c>
      <c r="BC16" s="18">
        <v>241</v>
      </c>
      <c r="BD16" s="18">
        <v>300</v>
      </c>
      <c r="BE16" s="25">
        <v>13</v>
      </c>
      <c r="BF16" s="25">
        <v>13</v>
      </c>
      <c r="BG16" s="25">
        <v>18</v>
      </c>
      <c r="BH16" s="25">
        <f t="shared" si="2"/>
        <v>-5</v>
      </c>
      <c r="BI16" s="18">
        <v>2</v>
      </c>
      <c r="BJ16" s="18">
        <v>40</v>
      </c>
      <c r="BK16" s="18"/>
      <c r="BL16" s="103">
        <v>45</v>
      </c>
      <c r="BM16" s="23">
        <v>22</v>
      </c>
      <c r="BN16" s="22">
        <v>1</v>
      </c>
      <c r="BO16" s="22">
        <v>1</v>
      </c>
      <c r="BP16" s="103">
        <v>25</v>
      </c>
      <c r="BQ16" s="23">
        <v>12</v>
      </c>
      <c r="BR16" s="23"/>
      <c r="BS16" s="103" t="s">
        <v>106</v>
      </c>
      <c r="BT16" s="103" t="s">
        <v>107</v>
      </c>
      <c r="BU16" s="19" t="s">
        <v>108</v>
      </c>
    </row>
    <row r="17" spans="1:73" ht="165">
      <c r="A17" s="12" t="s">
        <v>113</v>
      </c>
      <c r="B17" s="103" t="s">
        <v>185</v>
      </c>
      <c r="C17" s="103">
        <v>60</v>
      </c>
      <c r="D17" s="103">
        <v>120</v>
      </c>
      <c r="E17" s="18">
        <v>10</v>
      </c>
      <c r="F17" s="18">
        <v>40</v>
      </c>
      <c r="G17" s="18">
        <v>96</v>
      </c>
      <c r="H17" s="18">
        <v>4</v>
      </c>
      <c r="I17" s="18">
        <v>4</v>
      </c>
      <c r="J17" s="18">
        <v>7</v>
      </c>
      <c r="K17" s="18">
        <f t="shared" ref="K17:K23" si="3">J17-I17</f>
        <v>3</v>
      </c>
      <c r="L17" s="18">
        <v>1.5</v>
      </c>
      <c r="M17" s="18">
        <v>25</v>
      </c>
      <c r="N17" s="18"/>
      <c r="O17" s="103">
        <v>25</v>
      </c>
      <c r="P17" s="103">
        <v>12</v>
      </c>
      <c r="Q17" s="18">
        <v>1</v>
      </c>
      <c r="R17" s="103">
        <v>20</v>
      </c>
      <c r="S17" s="103">
        <v>10</v>
      </c>
      <c r="T17" s="103">
        <v>35</v>
      </c>
      <c r="U17" s="103" t="s">
        <v>106</v>
      </c>
      <c r="V17" s="103" t="s">
        <v>107</v>
      </c>
      <c r="W17" s="19" t="s">
        <v>108</v>
      </c>
      <c r="X17" s="37"/>
      <c r="Y17" s="12" t="s">
        <v>114</v>
      </c>
      <c r="Z17" s="103" t="s">
        <v>185</v>
      </c>
      <c r="AA17" s="103">
        <v>60</v>
      </c>
      <c r="AB17" s="103">
        <v>192</v>
      </c>
      <c r="AC17" s="18">
        <v>15</v>
      </c>
      <c r="AD17" s="18">
        <v>60</v>
      </c>
      <c r="AE17" s="103">
        <v>120</v>
      </c>
      <c r="AF17" s="18">
        <v>4</v>
      </c>
      <c r="AG17" s="18">
        <v>4</v>
      </c>
      <c r="AH17" s="18">
        <v>13</v>
      </c>
      <c r="AI17" s="18">
        <f>AH17-AG17</f>
        <v>9</v>
      </c>
      <c r="AJ17" s="18">
        <v>1.5</v>
      </c>
      <c r="AK17" s="22">
        <v>1</v>
      </c>
      <c r="AL17" s="22">
        <v>0</v>
      </c>
      <c r="AM17" s="18">
        <v>25</v>
      </c>
      <c r="AN17" s="18"/>
      <c r="AO17" s="103">
        <v>25</v>
      </c>
      <c r="AP17" s="103">
        <v>12</v>
      </c>
      <c r="AQ17" s="103">
        <v>20</v>
      </c>
      <c r="AR17" s="103">
        <v>10</v>
      </c>
      <c r="AS17" s="103">
        <v>17.5</v>
      </c>
      <c r="AT17" s="103" t="s">
        <v>106</v>
      </c>
      <c r="AU17" s="103" t="s">
        <v>107</v>
      </c>
      <c r="AV17" s="19" t="s">
        <v>108</v>
      </c>
      <c r="AX17" s="12" t="s">
        <v>110</v>
      </c>
      <c r="AY17" s="103" t="s">
        <v>185</v>
      </c>
      <c r="AZ17" s="103">
        <v>96</v>
      </c>
      <c r="BA17" s="103">
        <v>228</v>
      </c>
      <c r="BB17" s="126">
        <v>12</v>
      </c>
      <c r="BC17" s="18">
        <v>241</v>
      </c>
      <c r="BD17" s="18">
        <v>300</v>
      </c>
      <c r="BE17" s="25">
        <v>12</v>
      </c>
      <c r="BF17" s="25">
        <v>12</v>
      </c>
      <c r="BG17" s="25">
        <v>18</v>
      </c>
      <c r="BH17" s="25">
        <f t="shared" si="2"/>
        <v>-6</v>
      </c>
      <c r="BI17" s="18">
        <v>2</v>
      </c>
      <c r="BJ17" s="18">
        <v>40</v>
      </c>
      <c r="BK17" s="18"/>
      <c r="BL17" s="103">
        <v>45</v>
      </c>
      <c r="BM17" s="23">
        <v>22</v>
      </c>
      <c r="BN17" s="22">
        <v>1</v>
      </c>
      <c r="BO17" s="22">
        <v>1</v>
      </c>
      <c r="BP17" s="103">
        <v>25</v>
      </c>
      <c r="BQ17" s="23">
        <v>12</v>
      </c>
      <c r="BR17" s="23"/>
      <c r="BS17" s="103" t="s">
        <v>106</v>
      </c>
      <c r="BT17" s="103" t="s">
        <v>107</v>
      </c>
      <c r="BU17" s="19" t="s">
        <v>108</v>
      </c>
    </row>
    <row r="18" spans="1:73" ht="165">
      <c r="A18" s="12" t="s">
        <v>113</v>
      </c>
      <c r="B18" s="103" t="s">
        <v>185</v>
      </c>
      <c r="C18" s="103">
        <v>60</v>
      </c>
      <c r="D18" s="103">
        <v>120</v>
      </c>
      <c r="E18" s="18">
        <v>9</v>
      </c>
      <c r="F18" s="18">
        <v>40</v>
      </c>
      <c r="G18" s="18">
        <v>96</v>
      </c>
      <c r="H18" s="18">
        <v>5</v>
      </c>
      <c r="I18" s="18">
        <v>5</v>
      </c>
      <c r="J18" s="18">
        <v>7</v>
      </c>
      <c r="K18" s="18">
        <f t="shared" si="3"/>
        <v>2</v>
      </c>
      <c r="L18" s="18">
        <v>1.5</v>
      </c>
      <c r="M18" s="18">
        <v>25</v>
      </c>
      <c r="N18" s="18"/>
      <c r="O18" s="103">
        <v>25</v>
      </c>
      <c r="P18" s="103">
        <v>12</v>
      </c>
      <c r="Q18" s="18">
        <v>1</v>
      </c>
      <c r="R18" s="103">
        <v>20</v>
      </c>
      <c r="S18" s="103">
        <v>10</v>
      </c>
      <c r="T18" s="103">
        <v>35</v>
      </c>
      <c r="U18" s="103" t="s">
        <v>106</v>
      </c>
      <c r="V18" s="103" t="s">
        <v>107</v>
      </c>
      <c r="W18" s="19" t="s">
        <v>108</v>
      </c>
      <c r="X18" s="24"/>
      <c r="Y18" s="12" t="s">
        <v>114</v>
      </c>
      <c r="Z18" s="103" t="s">
        <v>185</v>
      </c>
      <c r="AA18" s="103">
        <v>60</v>
      </c>
      <c r="AB18" s="103">
        <v>192</v>
      </c>
      <c r="AC18" s="18">
        <v>14</v>
      </c>
      <c r="AD18" s="18">
        <v>121</v>
      </c>
      <c r="AE18" s="103">
        <v>180</v>
      </c>
      <c r="AF18" s="18">
        <v>5</v>
      </c>
      <c r="AG18" s="18">
        <v>5</v>
      </c>
      <c r="AH18" s="18">
        <v>13</v>
      </c>
      <c r="AI18" s="18">
        <f t="shared" ref="AI18:AI26" si="4">AH18-AG18</f>
        <v>8</v>
      </c>
      <c r="AJ18" s="18">
        <v>1.5</v>
      </c>
      <c r="AK18" s="22">
        <v>1.5</v>
      </c>
      <c r="AL18" s="22">
        <v>0</v>
      </c>
      <c r="AM18" s="18">
        <v>30</v>
      </c>
      <c r="AN18" s="18"/>
      <c r="AO18" s="103">
        <v>30</v>
      </c>
      <c r="AP18" s="23">
        <v>15</v>
      </c>
      <c r="AQ18" s="103">
        <v>25</v>
      </c>
      <c r="AR18" s="23">
        <v>12</v>
      </c>
      <c r="AS18" s="103">
        <v>17.5</v>
      </c>
      <c r="AT18" s="103" t="s">
        <v>106</v>
      </c>
      <c r="AU18" s="103" t="s">
        <v>107</v>
      </c>
      <c r="AV18" s="19" t="s">
        <v>108</v>
      </c>
      <c r="AX18" s="12" t="s">
        <v>110</v>
      </c>
      <c r="AY18" s="103" t="s">
        <v>185</v>
      </c>
      <c r="AZ18" s="103">
        <v>96</v>
      </c>
      <c r="BA18" s="103">
        <v>228</v>
      </c>
      <c r="BB18" s="126">
        <v>11</v>
      </c>
      <c r="BC18" s="18">
        <v>241</v>
      </c>
      <c r="BD18" s="18">
        <v>300</v>
      </c>
      <c r="BE18" s="25">
        <v>11</v>
      </c>
      <c r="BF18" s="25">
        <v>11</v>
      </c>
      <c r="BG18" s="25">
        <v>18</v>
      </c>
      <c r="BH18" s="25">
        <f t="shared" si="2"/>
        <v>-7</v>
      </c>
      <c r="BI18" s="18">
        <v>2</v>
      </c>
      <c r="BJ18" s="18">
        <v>40</v>
      </c>
      <c r="BK18" s="18"/>
      <c r="BL18" s="103">
        <v>45</v>
      </c>
      <c r="BM18" s="23">
        <v>22</v>
      </c>
      <c r="BN18" s="158">
        <v>1</v>
      </c>
      <c r="BO18" s="158">
        <v>1</v>
      </c>
      <c r="BP18" s="103">
        <v>25</v>
      </c>
      <c r="BQ18" s="23">
        <v>12</v>
      </c>
      <c r="BR18" s="23"/>
      <c r="BS18" s="103" t="s">
        <v>106</v>
      </c>
      <c r="BT18" s="103" t="s">
        <v>107</v>
      </c>
      <c r="BU18" s="19" t="s">
        <v>108</v>
      </c>
    </row>
    <row r="19" spans="1:73" ht="165.75" thickBot="1">
      <c r="A19" s="12" t="s">
        <v>113</v>
      </c>
      <c r="B19" s="103" t="s">
        <v>185</v>
      </c>
      <c r="C19" s="103">
        <v>60</v>
      </c>
      <c r="D19" s="103">
        <v>120</v>
      </c>
      <c r="E19" s="18">
        <v>8</v>
      </c>
      <c r="F19" s="18">
        <v>40</v>
      </c>
      <c r="G19" s="18">
        <v>96</v>
      </c>
      <c r="H19" s="18">
        <v>6</v>
      </c>
      <c r="I19" s="18">
        <v>6</v>
      </c>
      <c r="J19" s="18">
        <v>7</v>
      </c>
      <c r="K19" s="18">
        <f t="shared" si="3"/>
        <v>1</v>
      </c>
      <c r="L19" s="18">
        <v>1.5</v>
      </c>
      <c r="M19" s="18">
        <v>25</v>
      </c>
      <c r="N19" s="18"/>
      <c r="O19" s="103">
        <v>25</v>
      </c>
      <c r="P19" s="103">
        <v>12</v>
      </c>
      <c r="Q19" s="18">
        <v>1</v>
      </c>
      <c r="R19" s="103">
        <v>20</v>
      </c>
      <c r="S19" s="103">
        <v>10</v>
      </c>
      <c r="T19" s="103">
        <v>35</v>
      </c>
      <c r="U19" s="103" t="s">
        <v>106</v>
      </c>
      <c r="V19" s="103" t="s">
        <v>107</v>
      </c>
      <c r="W19" s="19" t="s">
        <v>108</v>
      </c>
      <c r="X19" s="24"/>
      <c r="Y19" s="12" t="s">
        <v>114</v>
      </c>
      <c r="Z19" s="103" t="s">
        <v>185</v>
      </c>
      <c r="AA19" s="103">
        <v>60</v>
      </c>
      <c r="AB19" s="103">
        <v>192</v>
      </c>
      <c r="AC19" s="18">
        <v>13</v>
      </c>
      <c r="AD19" s="18">
        <v>181</v>
      </c>
      <c r="AE19" s="103">
        <v>240</v>
      </c>
      <c r="AF19" s="18">
        <v>6</v>
      </c>
      <c r="AG19" s="18">
        <v>6</v>
      </c>
      <c r="AH19" s="18">
        <v>13</v>
      </c>
      <c r="AI19" s="18">
        <f t="shared" si="4"/>
        <v>7</v>
      </c>
      <c r="AJ19" s="18">
        <v>2</v>
      </c>
      <c r="AK19" s="22">
        <v>1.5</v>
      </c>
      <c r="AL19" s="22">
        <v>0</v>
      </c>
      <c r="AM19" s="18">
        <v>40</v>
      </c>
      <c r="AN19" s="18"/>
      <c r="AO19" s="103">
        <v>40</v>
      </c>
      <c r="AP19" s="23">
        <v>20</v>
      </c>
      <c r="AQ19" s="103">
        <v>30</v>
      </c>
      <c r="AR19" s="23">
        <v>15</v>
      </c>
      <c r="AS19" s="103">
        <v>17.5</v>
      </c>
      <c r="AT19" s="103" t="s">
        <v>106</v>
      </c>
      <c r="AU19" s="103" t="s">
        <v>107</v>
      </c>
      <c r="AV19" s="19" t="s">
        <v>108</v>
      </c>
      <c r="AX19" s="27" t="s">
        <v>110</v>
      </c>
      <c r="AY19" s="28" t="s">
        <v>185</v>
      </c>
      <c r="AZ19" s="28">
        <v>96</v>
      </c>
      <c r="BA19" s="28">
        <v>228</v>
      </c>
      <c r="BB19" s="127">
        <v>10</v>
      </c>
      <c r="BC19" s="29">
        <v>241</v>
      </c>
      <c r="BD19" s="29">
        <v>300</v>
      </c>
      <c r="BE19" s="33">
        <v>10</v>
      </c>
      <c r="BF19" s="33">
        <v>10</v>
      </c>
      <c r="BG19" s="33">
        <v>18</v>
      </c>
      <c r="BH19" s="25">
        <f t="shared" si="2"/>
        <v>-8</v>
      </c>
      <c r="BI19" s="29">
        <v>2</v>
      </c>
      <c r="BJ19" s="29">
        <v>40</v>
      </c>
      <c r="BK19" s="29"/>
      <c r="BL19" s="28">
        <v>45</v>
      </c>
      <c r="BM19" s="36">
        <v>22</v>
      </c>
      <c r="BN19" s="35">
        <v>1</v>
      </c>
      <c r="BO19" s="35">
        <v>1</v>
      </c>
      <c r="BP19" s="28">
        <v>25</v>
      </c>
      <c r="BQ19" s="36">
        <v>12</v>
      </c>
      <c r="BR19" s="36"/>
      <c r="BS19" s="28" t="s">
        <v>106</v>
      </c>
      <c r="BT19" s="28" t="s">
        <v>107</v>
      </c>
      <c r="BU19" s="30" t="s">
        <v>108</v>
      </c>
    </row>
    <row r="20" spans="1:73" ht="165.75" thickBot="1">
      <c r="A20" s="12" t="s">
        <v>113</v>
      </c>
      <c r="B20" s="103" t="s">
        <v>185</v>
      </c>
      <c r="C20" s="103">
        <v>60</v>
      </c>
      <c r="D20" s="103">
        <v>120</v>
      </c>
      <c r="E20" s="18">
        <v>7</v>
      </c>
      <c r="F20" s="18">
        <v>40</v>
      </c>
      <c r="G20" s="18">
        <v>96</v>
      </c>
      <c r="H20" s="18">
        <v>7</v>
      </c>
      <c r="I20" s="18">
        <v>7</v>
      </c>
      <c r="J20" s="18">
        <v>7</v>
      </c>
      <c r="K20" s="25">
        <f t="shared" si="3"/>
        <v>0</v>
      </c>
      <c r="L20" s="18">
        <v>1.5</v>
      </c>
      <c r="M20" s="18">
        <v>25</v>
      </c>
      <c r="N20" s="18"/>
      <c r="O20" s="103">
        <v>25</v>
      </c>
      <c r="P20" s="103">
        <v>12</v>
      </c>
      <c r="Q20" s="18">
        <v>1</v>
      </c>
      <c r="R20" s="103">
        <v>20</v>
      </c>
      <c r="S20" s="103">
        <v>10</v>
      </c>
      <c r="T20" s="103">
        <v>35</v>
      </c>
      <c r="U20" s="103" t="s">
        <v>106</v>
      </c>
      <c r="V20" s="103" t="s">
        <v>107</v>
      </c>
      <c r="W20" s="19" t="s">
        <v>108</v>
      </c>
      <c r="X20" s="24"/>
      <c r="Y20" s="12" t="s">
        <v>114</v>
      </c>
      <c r="Z20" s="103" t="s">
        <v>185</v>
      </c>
      <c r="AA20" s="103">
        <v>60</v>
      </c>
      <c r="AB20" s="103">
        <v>192</v>
      </c>
      <c r="AC20" s="18">
        <v>12</v>
      </c>
      <c r="AD20" s="18">
        <v>241</v>
      </c>
      <c r="AE20" s="103">
        <v>300</v>
      </c>
      <c r="AF20" s="18">
        <v>7</v>
      </c>
      <c r="AG20" s="18">
        <v>7</v>
      </c>
      <c r="AH20" s="18">
        <v>13</v>
      </c>
      <c r="AI20" s="18">
        <f t="shared" si="4"/>
        <v>6</v>
      </c>
      <c r="AJ20" s="18">
        <v>2</v>
      </c>
      <c r="AK20" s="22">
        <v>1.5</v>
      </c>
      <c r="AL20" s="22">
        <v>0</v>
      </c>
      <c r="AM20" s="18">
        <v>40</v>
      </c>
      <c r="AN20" s="18"/>
      <c r="AO20" s="103">
        <v>40</v>
      </c>
      <c r="AP20" s="23">
        <v>20</v>
      </c>
      <c r="AQ20" s="103">
        <v>30</v>
      </c>
      <c r="AR20" s="23">
        <v>15</v>
      </c>
      <c r="AS20" s="103">
        <v>17.5</v>
      </c>
      <c r="AT20" s="103" t="s">
        <v>106</v>
      </c>
      <c r="AU20" s="103" t="s">
        <v>107</v>
      </c>
      <c r="AV20" s="19" t="s">
        <v>108</v>
      </c>
      <c r="AX20" s="10"/>
      <c r="AY20" s="10"/>
      <c r="AZ20" s="9"/>
      <c r="BA20" s="9"/>
      <c r="BB20" s="9"/>
      <c r="BC20" s="9"/>
      <c r="BD20" s="9"/>
      <c r="BE20" s="9"/>
      <c r="BF20" s="9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9"/>
      <c r="BR20" s="9"/>
      <c r="BS20" s="9"/>
      <c r="BT20" s="42"/>
      <c r="BU20" s="42"/>
    </row>
    <row r="21" spans="1:73" ht="165">
      <c r="A21" s="12" t="s">
        <v>113</v>
      </c>
      <c r="B21" s="103" t="s">
        <v>185</v>
      </c>
      <c r="C21" s="103">
        <v>60</v>
      </c>
      <c r="D21" s="103">
        <v>120</v>
      </c>
      <c r="E21" s="18">
        <v>6</v>
      </c>
      <c r="F21" s="18">
        <v>40</v>
      </c>
      <c r="G21" s="18">
        <v>96</v>
      </c>
      <c r="H21" s="18">
        <v>7</v>
      </c>
      <c r="I21" s="18">
        <v>7</v>
      </c>
      <c r="J21" s="18">
        <v>7</v>
      </c>
      <c r="K21" s="25">
        <f t="shared" si="3"/>
        <v>0</v>
      </c>
      <c r="L21" s="18">
        <v>1.5</v>
      </c>
      <c r="M21" s="18">
        <v>25</v>
      </c>
      <c r="N21" s="18"/>
      <c r="O21" s="103">
        <v>25</v>
      </c>
      <c r="P21" s="103">
        <v>12</v>
      </c>
      <c r="Q21" s="18">
        <v>1</v>
      </c>
      <c r="R21" s="103">
        <v>20</v>
      </c>
      <c r="S21" s="103">
        <v>10</v>
      </c>
      <c r="T21" s="103">
        <v>35</v>
      </c>
      <c r="U21" s="103" t="s">
        <v>106</v>
      </c>
      <c r="V21" s="103" t="s">
        <v>107</v>
      </c>
      <c r="W21" s="19" t="s">
        <v>108</v>
      </c>
      <c r="X21" s="24"/>
      <c r="Y21" s="12" t="s">
        <v>114</v>
      </c>
      <c r="Z21" s="103" t="s">
        <v>185</v>
      </c>
      <c r="AA21" s="103">
        <v>60</v>
      </c>
      <c r="AB21" s="103">
        <v>192</v>
      </c>
      <c r="AC21" s="18">
        <v>11</v>
      </c>
      <c r="AD21" s="18">
        <v>241</v>
      </c>
      <c r="AE21" s="103">
        <v>300</v>
      </c>
      <c r="AF21" s="18">
        <v>8</v>
      </c>
      <c r="AG21" s="18">
        <v>8</v>
      </c>
      <c r="AH21" s="18">
        <v>13</v>
      </c>
      <c r="AI21" s="18">
        <f t="shared" si="4"/>
        <v>5</v>
      </c>
      <c r="AJ21" s="18">
        <v>2</v>
      </c>
      <c r="AK21" s="22">
        <v>1.5</v>
      </c>
      <c r="AL21" s="22">
        <v>0</v>
      </c>
      <c r="AM21" s="18">
        <v>40</v>
      </c>
      <c r="AN21" s="18"/>
      <c r="AO21" s="103">
        <v>40</v>
      </c>
      <c r="AP21" s="23">
        <v>20</v>
      </c>
      <c r="AQ21" s="103">
        <v>30</v>
      </c>
      <c r="AR21" s="23">
        <v>15</v>
      </c>
      <c r="AS21" s="103">
        <v>17.5</v>
      </c>
      <c r="AT21" s="103" t="s">
        <v>106</v>
      </c>
      <c r="AU21" s="103" t="s">
        <v>107</v>
      </c>
      <c r="AV21" s="19" t="s">
        <v>108</v>
      </c>
      <c r="AX21" s="152" t="s">
        <v>189</v>
      </c>
      <c r="AY21" s="153"/>
      <c r="AZ21" s="153"/>
      <c r="BA21" s="153"/>
      <c r="BB21" s="153"/>
      <c r="BC21" s="153"/>
      <c r="BD21" s="153"/>
      <c r="BE21" s="153"/>
      <c r="BF21" s="153"/>
      <c r="BG21" s="153"/>
      <c r="BH21" s="153"/>
      <c r="BI21" s="153"/>
      <c r="BJ21" s="153"/>
      <c r="BK21" s="153"/>
      <c r="BL21" s="153"/>
      <c r="BM21" s="153"/>
      <c r="BN21" s="153"/>
      <c r="BO21" s="153"/>
      <c r="BP21" s="153"/>
      <c r="BQ21" s="153"/>
      <c r="BR21" s="153"/>
      <c r="BS21" s="153"/>
      <c r="BT21" s="153"/>
      <c r="BU21" s="154"/>
    </row>
    <row r="22" spans="1:73" ht="165">
      <c r="A22" s="12" t="s">
        <v>113</v>
      </c>
      <c r="B22" s="103" t="s">
        <v>185</v>
      </c>
      <c r="C22" s="103">
        <v>60</v>
      </c>
      <c r="D22" s="103">
        <v>120</v>
      </c>
      <c r="E22" s="18">
        <v>5</v>
      </c>
      <c r="F22" s="18">
        <v>40</v>
      </c>
      <c r="G22" s="18">
        <v>96</v>
      </c>
      <c r="H22" s="18">
        <v>7</v>
      </c>
      <c r="I22" s="18">
        <v>7</v>
      </c>
      <c r="J22" s="18">
        <v>7</v>
      </c>
      <c r="K22" s="25">
        <f t="shared" si="3"/>
        <v>0</v>
      </c>
      <c r="L22" s="18">
        <v>1.5</v>
      </c>
      <c r="M22" s="18">
        <v>25</v>
      </c>
      <c r="N22" s="18"/>
      <c r="O22" s="103">
        <v>25</v>
      </c>
      <c r="P22" s="103">
        <v>12</v>
      </c>
      <c r="Q22" s="18">
        <v>1</v>
      </c>
      <c r="R22" s="103">
        <v>20</v>
      </c>
      <c r="S22" s="103">
        <v>10</v>
      </c>
      <c r="T22" s="103">
        <v>35</v>
      </c>
      <c r="U22" s="103" t="s">
        <v>106</v>
      </c>
      <c r="V22" s="103" t="s">
        <v>107</v>
      </c>
      <c r="W22" s="19" t="s">
        <v>108</v>
      </c>
      <c r="X22" s="24"/>
      <c r="Y22" s="12" t="s">
        <v>114</v>
      </c>
      <c r="Z22" s="103" t="s">
        <v>185</v>
      </c>
      <c r="AA22" s="103">
        <v>60</v>
      </c>
      <c r="AB22" s="103">
        <v>192</v>
      </c>
      <c r="AC22" s="18">
        <v>10</v>
      </c>
      <c r="AD22" s="18">
        <v>241</v>
      </c>
      <c r="AE22" s="103">
        <v>300</v>
      </c>
      <c r="AF22" s="18">
        <v>9</v>
      </c>
      <c r="AG22" s="18">
        <v>9</v>
      </c>
      <c r="AH22" s="18">
        <v>13</v>
      </c>
      <c r="AI22" s="18">
        <f t="shared" si="4"/>
        <v>4</v>
      </c>
      <c r="AJ22" s="18">
        <v>2</v>
      </c>
      <c r="AK22" s="22">
        <v>1.5</v>
      </c>
      <c r="AL22" s="22">
        <v>0</v>
      </c>
      <c r="AM22" s="18">
        <v>40</v>
      </c>
      <c r="AN22" s="18"/>
      <c r="AO22" s="103">
        <v>40</v>
      </c>
      <c r="AP22" s="23">
        <v>20</v>
      </c>
      <c r="AQ22" s="103">
        <v>30</v>
      </c>
      <c r="AR22" s="23">
        <v>15</v>
      </c>
      <c r="AS22" s="103">
        <v>17.5</v>
      </c>
      <c r="AT22" s="103" t="s">
        <v>106</v>
      </c>
      <c r="AU22" s="103" t="s">
        <v>107</v>
      </c>
      <c r="AV22" s="19" t="s">
        <v>108</v>
      </c>
      <c r="AX22" s="12" t="s">
        <v>77</v>
      </c>
      <c r="AY22" s="103" t="s">
        <v>116</v>
      </c>
      <c r="AZ22" s="103" t="s">
        <v>79</v>
      </c>
      <c r="BA22" s="103" t="s">
        <v>80</v>
      </c>
      <c r="BB22" s="14" t="s">
        <v>81</v>
      </c>
      <c r="BC22" s="14" t="s">
        <v>82</v>
      </c>
      <c r="BD22" s="14" t="s">
        <v>83</v>
      </c>
      <c r="BE22" s="14" t="s">
        <v>99</v>
      </c>
      <c r="BF22" s="14" t="s">
        <v>100</v>
      </c>
      <c r="BG22" s="14" t="s">
        <v>86</v>
      </c>
      <c r="BH22" s="14" t="s">
        <v>87</v>
      </c>
      <c r="BI22" s="14" t="s">
        <v>184</v>
      </c>
      <c r="BJ22" s="14" t="s">
        <v>89</v>
      </c>
      <c r="BK22" s="14"/>
      <c r="BL22" s="103" t="s">
        <v>179</v>
      </c>
      <c r="BM22" s="103" t="s">
        <v>180</v>
      </c>
      <c r="BN22" s="14" t="s">
        <v>169</v>
      </c>
      <c r="BO22" s="14" t="s">
        <v>170</v>
      </c>
      <c r="BP22" s="103" t="s">
        <v>181</v>
      </c>
      <c r="BQ22" s="103" t="s">
        <v>182</v>
      </c>
      <c r="BR22" s="16" t="s">
        <v>93</v>
      </c>
      <c r="BS22" s="16" t="s">
        <v>94</v>
      </c>
      <c r="BT22" s="16" t="s">
        <v>95</v>
      </c>
      <c r="BU22" s="17" t="s">
        <v>96</v>
      </c>
    </row>
    <row r="23" spans="1:73" ht="165.75" thickBot="1">
      <c r="A23" s="27" t="s">
        <v>113</v>
      </c>
      <c r="B23" s="28" t="s">
        <v>185</v>
      </c>
      <c r="C23" s="28">
        <v>60</v>
      </c>
      <c r="D23" s="28">
        <v>120</v>
      </c>
      <c r="E23" s="29">
        <v>4</v>
      </c>
      <c r="F23" s="29">
        <v>40</v>
      </c>
      <c r="G23" s="29">
        <v>96</v>
      </c>
      <c r="H23" s="29">
        <v>7</v>
      </c>
      <c r="I23" s="29">
        <v>7</v>
      </c>
      <c r="J23" s="29">
        <v>7</v>
      </c>
      <c r="K23" s="33">
        <f t="shared" si="3"/>
        <v>0</v>
      </c>
      <c r="L23" s="29">
        <v>1.5</v>
      </c>
      <c r="M23" s="29">
        <v>25</v>
      </c>
      <c r="N23" s="29"/>
      <c r="O23" s="28">
        <v>25</v>
      </c>
      <c r="P23" s="28">
        <v>12</v>
      </c>
      <c r="Q23" s="29">
        <v>1</v>
      </c>
      <c r="R23" s="28">
        <v>20</v>
      </c>
      <c r="S23" s="28">
        <v>10</v>
      </c>
      <c r="T23" s="28">
        <v>35</v>
      </c>
      <c r="U23" s="28" t="s">
        <v>106</v>
      </c>
      <c r="V23" s="28" t="s">
        <v>107</v>
      </c>
      <c r="W23" s="30" t="s">
        <v>108</v>
      </c>
      <c r="X23" s="24"/>
      <c r="Y23" s="12" t="s">
        <v>114</v>
      </c>
      <c r="Z23" s="103" t="s">
        <v>185</v>
      </c>
      <c r="AA23" s="103">
        <v>60</v>
      </c>
      <c r="AB23" s="103">
        <v>192</v>
      </c>
      <c r="AC23" s="18">
        <v>9</v>
      </c>
      <c r="AD23" s="18">
        <v>241</v>
      </c>
      <c r="AE23" s="103">
        <v>300</v>
      </c>
      <c r="AF23" s="18">
        <v>10</v>
      </c>
      <c r="AG23" s="18">
        <v>10</v>
      </c>
      <c r="AH23" s="18">
        <v>13</v>
      </c>
      <c r="AI23" s="18">
        <f t="shared" si="4"/>
        <v>3</v>
      </c>
      <c r="AJ23" s="18">
        <v>2</v>
      </c>
      <c r="AK23" s="22">
        <v>1.5</v>
      </c>
      <c r="AL23" s="22">
        <v>0</v>
      </c>
      <c r="AM23" s="18">
        <v>40</v>
      </c>
      <c r="AN23" s="18"/>
      <c r="AO23" s="103">
        <v>40</v>
      </c>
      <c r="AP23" s="23">
        <v>20</v>
      </c>
      <c r="AQ23" s="103">
        <v>30</v>
      </c>
      <c r="AR23" s="23">
        <v>15</v>
      </c>
      <c r="AS23" s="103">
        <v>17.5</v>
      </c>
      <c r="AT23" s="103" t="s">
        <v>106</v>
      </c>
      <c r="AU23" s="103" t="s">
        <v>107</v>
      </c>
      <c r="AV23" s="19" t="s">
        <v>108</v>
      </c>
      <c r="AX23" s="39" t="s">
        <v>117</v>
      </c>
      <c r="AY23" s="103" t="s">
        <v>185</v>
      </c>
      <c r="AZ23" s="103">
        <v>96</v>
      </c>
      <c r="BA23" s="103">
        <v>228</v>
      </c>
      <c r="BB23" s="18">
        <v>25</v>
      </c>
      <c r="BC23" s="18">
        <v>120</v>
      </c>
      <c r="BD23" s="18">
        <v>180</v>
      </c>
      <c r="BE23" s="18">
        <v>25</v>
      </c>
      <c r="BF23" s="18">
        <v>25</v>
      </c>
      <c r="BG23" s="18">
        <v>18</v>
      </c>
      <c r="BH23" s="18">
        <f>BF23-BG23</f>
        <v>7</v>
      </c>
      <c r="BI23" s="18">
        <v>1.5</v>
      </c>
      <c r="BJ23" s="18">
        <v>30</v>
      </c>
      <c r="BK23" s="18"/>
      <c r="BL23" s="103">
        <v>36</v>
      </c>
      <c r="BM23" s="23">
        <v>18</v>
      </c>
      <c r="BN23" s="22">
        <v>1</v>
      </c>
      <c r="BO23" s="22">
        <v>0.5</v>
      </c>
      <c r="BP23" s="103">
        <v>20</v>
      </c>
      <c r="BQ23" s="23">
        <v>10</v>
      </c>
      <c r="BR23" s="23"/>
      <c r="BS23" s="103" t="s">
        <v>106</v>
      </c>
      <c r="BT23" s="103" t="s">
        <v>107</v>
      </c>
      <c r="BU23" s="19" t="s">
        <v>108</v>
      </c>
    </row>
    <row r="24" spans="1:73" ht="16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24"/>
      <c r="Y24" s="12" t="s">
        <v>114</v>
      </c>
      <c r="Z24" s="103" t="s">
        <v>185</v>
      </c>
      <c r="AA24" s="103">
        <v>60</v>
      </c>
      <c r="AB24" s="103">
        <v>192</v>
      </c>
      <c r="AC24" s="18">
        <v>8</v>
      </c>
      <c r="AD24" s="18">
        <v>241</v>
      </c>
      <c r="AE24" s="103">
        <v>300</v>
      </c>
      <c r="AF24" s="18">
        <v>11</v>
      </c>
      <c r="AG24" s="18">
        <v>11</v>
      </c>
      <c r="AH24" s="18">
        <v>13</v>
      </c>
      <c r="AI24" s="18">
        <f t="shared" si="4"/>
        <v>2</v>
      </c>
      <c r="AJ24" s="18">
        <v>2</v>
      </c>
      <c r="AK24" s="22">
        <v>1.5</v>
      </c>
      <c r="AL24" s="22">
        <v>0</v>
      </c>
      <c r="AM24" s="18">
        <v>40</v>
      </c>
      <c r="AN24" s="18"/>
      <c r="AO24" s="103">
        <v>40</v>
      </c>
      <c r="AP24" s="23">
        <v>20</v>
      </c>
      <c r="AQ24" s="103">
        <v>30</v>
      </c>
      <c r="AR24" s="23">
        <v>15</v>
      </c>
      <c r="AS24" s="103">
        <v>17.5</v>
      </c>
      <c r="AT24" s="103" t="s">
        <v>106</v>
      </c>
      <c r="AU24" s="103" t="s">
        <v>107</v>
      </c>
      <c r="AV24" s="19" t="s">
        <v>108</v>
      </c>
      <c r="AX24" s="39" t="s">
        <v>117</v>
      </c>
      <c r="AY24" s="103" t="s">
        <v>185</v>
      </c>
      <c r="AZ24" s="103">
        <v>96</v>
      </c>
      <c r="BA24" s="103">
        <v>228</v>
      </c>
      <c r="BB24" s="18">
        <v>24</v>
      </c>
      <c r="BC24" s="18">
        <v>180</v>
      </c>
      <c r="BD24" s="18">
        <v>240</v>
      </c>
      <c r="BE24" s="18">
        <v>24</v>
      </c>
      <c r="BF24" s="18">
        <v>24</v>
      </c>
      <c r="BG24" s="18">
        <v>18</v>
      </c>
      <c r="BH24" s="18">
        <f t="shared" ref="BH24:BH38" si="5">BF24-BG24</f>
        <v>6</v>
      </c>
      <c r="BI24" s="18">
        <v>1.5</v>
      </c>
      <c r="BJ24" s="18">
        <v>35</v>
      </c>
      <c r="BK24" s="18"/>
      <c r="BL24" s="103">
        <v>40</v>
      </c>
      <c r="BM24" s="23">
        <v>20</v>
      </c>
      <c r="BN24" s="22">
        <v>1</v>
      </c>
      <c r="BO24" s="22">
        <v>0.5</v>
      </c>
      <c r="BP24" s="103">
        <v>25</v>
      </c>
      <c r="BQ24" s="23">
        <v>12</v>
      </c>
      <c r="BR24" s="23"/>
      <c r="BS24" s="103" t="s">
        <v>106</v>
      </c>
      <c r="BT24" s="103" t="s">
        <v>107</v>
      </c>
      <c r="BU24" s="19" t="s">
        <v>108</v>
      </c>
    </row>
    <row r="25" spans="1:73" ht="16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12" t="s">
        <v>114</v>
      </c>
      <c r="Z25" s="103" t="s">
        <v>185</v>
      </c>
      <c r="AA25" s="103">
        <v>60</v>
      </c>
      <c r="AB25" s="103">
        <v>192</v>
      </c>
      <c r="AC25" s="18">
        <v>7</v>
      </c>
      <c r="AD25" s="18">
        <v>241</v>
      </c>
      <c r="AE25" s="103">
        <v>300</v>
      </c>
      <c r="AF25" s="18">
        <v>12</v>
      </c>
      <c r="AG25" s="18">
        <v>12</v>
      </c>
      <c r="AH25" s="18">
        <v>13</v>
      </c>
      <c r="AI25" s="18">
        <f t="shared" si="4"/>
        <v>1</v>
      </c>
      <c r="AJ25" s="18">
        <v>2</v>
      </c>
      <c r="AK25" s="22">
        <v>1.5</v>
      </c>
      <c r="AL25" s="22">
        <v>0</v>
      </c>
      <c r="AM25" s="18">
        <v>40</v>
      </c>
      <c r="AN25" s="18"/>
      <c r="AO25" s="103">
        <v>40</v>
      </c>
      <c r="AP25" s="23">
        <v>20</v>
      </c>
      <c r="AQ25" s="103">
        <v>30</v>
      </c>
      <c r="AR25" s="23">
        <v>15</v>
      </c>
      <c r="AS25" s="103">
        <v>17.5</v>
      </c>
      <c r="AT25" s="103" t="s">
        <v>106</v>
      </c>
      <c r="AU25" s="103" t="s">
        <v>107</v>
      </c>
      <c r="AV25" s="19" t="s">
        <v>108</v>
      </c>
      <c r="AX25" s="39" t="s">
        <v>117</v>
      </c>
      <c r="AY25" s="103" t="s">
        <v>185</v>
      </c>
      <c r="AZ25" s="103">
        <v>96</v>
      </c>
      <c r="BA25" s="103">
        <v>228</v>
      </c>
      <c r="BB25" s="18">
        <v>23</v>
      </c>
      <c r="BC25" s="18">
        <v>241</v>
      </c>
      <c r="BD25" s="18">
        <v>300</v>
      </c>
      <c r="BE25" s="18">
        <v>23</v>
      </c>
      <c r="BF25" s="18">
        <v>23</v>
      </c>
      <c r="BG25" s="18">
        <v>18</v>
      </c>
      <c r="BH25" s="18">
        <f t="shared" si="5"/>
        <v>5</v>
      </c>
      <c r="BI25" s="18">
        <v>2</v>
      </c>
      <c r="BJ25" s="18">
        <v>40</v>
      </c>
      <c r="BK25" s="18"/>
      <c r="BL25" s="103">
        <v>45</v>
      </c>
      <c r="BM25" s="23">
        <v>22</v>
      </c>
      <c r="BN25" s="22">
        <v>1</v>
      </c>
      <c r="BO25" s="22">
        <v>1</v>
      </c>
      <c r="BP25" s="103">
        <v>25</v>
      </c>
      <c r="BQ25" s="23">
        <v>12</v>
      </c>
      <c r="BR25" s="23"/>
      <c r="BS25" s="103" t="s">
        <v>106</v>
      </c>
      <c r="BT25" s="103" t="s">
        <v>107</v>
      </c>
      <c r="BU25" s="19" t="s">
        <v>108</v>
      </c>
    </row>
    <row r="26" spans="1:73" ht="165.75" thickBot="1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27" t="s">
        <v>114</v>
      </c>
      <c r="Z26" s="28" t="s">
        <v>185</v>
      </c>
      <c r="AA26" s="28">
        <v>60</v>
      </c>
      <c r="AB26" s="28">
        <v>192</v>
      </c>
      <c r="AC26" s="29">
        <v>6</v>
      </c>
      <c r="AD26" s="29">
        <v>241</v>
      </c>
      <c r="AE26" s="28">
        <v>300</v>
      </c>
      <c r="AF26" s="29">
        <v>12</v>
      </c>
      <c r="AG26" s="29">
        <v>12</v>
      </c>
      <c r="AH26" s="29">
        <v>13</v>
      </c>
      <c r="AI26" s="29">
        <f t="shared" si="4"/>
        <v>1</v>
      </c>
      <c r="AJ26" s="29">
        <v>2</v>
      </c>
      <c r="AK26" s="22">
        <v>1.5</v>
      </c>
      <c r="AL26" s="22">
        <v>0</v>
      </c>
      <c r="AM26" s="29">
        <v>40</v>
      </c>
      <c r="AN26" s="29"/>
      <c r="AO26" s="28">
        <v>40</v>
      </c>
      <c r="AP26" s="36">
        <v>20</v>
      </c>
      <c r="AQ26" s="28">
        <v>30</v>
      </c>
      <c r="AR26" s="36">
        <v>15</v>
      </c>
      <c r="AS26" s="28">
        <v>17.5</v>
      </c>
      <c r="AT26" s="28" t="s">
        <v>106</v>
      </c>
      <c r="AU26" s="28" t="s">
        <v>107</v>
      </c>
      <c r="AV26" s="30" t="s">
        <v>108</v>
      </c>
      <c r="AX26" s="39" t="s">
        <v>117</v>
      </c>
      <c r="AY26" s="103" t="s">
        <v>185</v>
      </c>
      <c r="AZ26" s="103">
        <v>96</v>
      </c>
      <c r="BA26" s="103">
        <v>228</v>
      </c>
      <c r="BB26" s="18">
        <v>22</v>
      </c>
      <c r="BC26" s="18">
        <v>241</v>
      </c>
      <c r="BD26" s="18">
        <v>300</v>
      </c>
      <c r="BE26" s="18">
        <v>22</v>
      </c>
      <c r="BF26" s="18">
        <v>22</v>
      </c>
      <c r="BG26" s="18">
        <v>18</v>
      </c>
      <c r="BH26" s="18">
        <f t="shared" si="5"/>
        <v>4</v>
      </c>
      <c r="BI26" s="18">
        <v>2</v>
      </c>
      <c r="BJ26" s="18">
        <v>40</v>
      </c>
      <c r="BK26" s="18"/>
      <c r="BL26" s="103">
        <v>45</v>
      </c>
      <c r="BM26" s="23">
        <v>22</v>
      </c>
      <c r="BN26" s="22">
        <v>1</v>
      </c>
      <c r="BO26" s="22">
        <v>1</v>
      </c>
      <c r="BP26" s="103">
        <v>25</v>
      </c>
      <c r="BQ26" s="23">
        <v>12</v>
      </c>
      <c r="BR26" s="23"/>
      <c r="BS26" s="103" t="s">
        <v>106</v>
      </c>
      <c r="BT26" s="103" t="s">
        <v>107</v>
      </c>
      <c r="BU26" s="19" t="s">
        <v>108</v>
      </c>
    </row>
    <row r="27" spans="1:73" ht="16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X27" s="39" t="s">
        <v>117</v>
      </c>
      <c r="AY27" s="103" t="s">
        <v>185</v>
      </c>
      <c r="AZ27" s="103">
        <v>96</v>
      </c>
      <c r="BA27" s="103">
        <v>228</v>
      </c>
      <c r="BB27" s="18">
        <v>21</v>
      </c>
      <c r="BC27" s="18">
        <v>241</v>
      </c>
      <c r="BD27" s="18">
        <v>300</v>
      </c>
      <c r="BE27" s="18">
        <v>21</v>
      </c>
      <c r="BF27" s="18">
        <v>21</v>
      </c>
      <c r="BG27" s="18">
        <v>18</v>
      </c>
      <c r="BH27" s="18">
        <f t="shared" si="5"/>
        <v>3</v>
      </c>
      <c r="BI27" s="18">
        <v>2</v>
      </c>
      <c r="BJ27" s="18">
        <v>40</v>
      </c>
      <c r="BK27" s="18"/>
      <c r="BL27" s="103">
        <v>45</v>
      </c>
      <c r="BM27" s="23">
        <v>22</v>
      </c>
      <c r="BN27" s="22">
        <v>1</v>
      </c>
      <c r="BO27" s="22">
        <v>1</v>
      </c>
      <c r="BP27" s="103">
        <v>25</v>
      </c>
      <c r="BQ27" s="23">
        <v>12</v>
      </c>
      <c r="BR27" s="23"/>
      <c r="BS27" s="103" t="s">
        <v>106</v>
      </c>
      <c r="BT27" s="103" t="s">
        <v>107</v>
      </c>
      <c r="BU27" s="19" t="s">
        <v>108</v>
      </c>
    </row>
    <row r="28" spans="1:73" ht="165.75" thickBot="1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10"/>
      <c r="AB28" s="10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10"/>
      <c r="AQ28" s="10"/>
      <c r="AR28" s="10"/>
      <c r="AS28" s="10"/>
      <c r="AT28" s="10"/>
      <c r="AU28" s="10"/>
      <c r="AV28" s="10"/>
      <c r="AX28" s="39" t="s">
        <v>117</v>
      </c>
      <c r="AY28" s="103" t="s">
        <v>185</v>
      </c>
      <c r="AZ28" s="103">
        <v>96</v>
      </c>
      <c r="BA28" s="103">
        <v>228</v>
      </c>
      <c r="BB28" s="18">
        <v>20</v>
      </c>
      <c r="BC28" s="18">
        <v>241</v>
      </c>
      <c r="BD28" s="18">
        <v>300</v>
      </c>
      <c r="BE28" s="18">
        <v>20</v>
      </c>
      <c r="BF28" s="18">
        <v>20</v>
      </c>
      <c r="BG28" s="18">
        <v>18</v>
      </c>
      <c r="BH28" s="18">
        <f t="shared" si="5"/>
        <v>2</v>
      </c>
      <c r="BI28" s="18">
        <v>2</v>
      </c>
      <c r="BJ28" s="18">
        <v>40</v>
      </c>
      <c r="BK28" s="18"/>
      <c r="BL28" s="103">
        <v>45</v>
      </c>
      <c r="BM28" s="23">
        <v>22</v>
      </c>
      <c r="BN28" s="22">
        <v>1</v>
      </c>
      <c r="BO28" s="22">
        <v>1</v>
      </c>
      <c r="BP28" s="103">
        <v>25</v>
      </c>
      <c r="BQ28" s="23">
        <v>12</v>
      </c>
      <c r="BR28" s="23"/>
      <c r="BS28" s="103" t="s">
        <v>106</v>
      </c>
      <c r="BT28" s="103" t="s">
        <v>107</v>
      </c>
      <c r="BU28" s="19" t="s">
        <v>108</v>
      </c>
    </row>
    <row r="29" spans="1:73" ht="16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149" t="s">
        <v>118</v>
      </c>
      <c r="Z29" s="150"/>
      <c r="AA29" s="150"/>
      <c r="AB29" s="150"/>
      <c r="AC29" s="150"/>
      <c r="AD29" s="150"/>
      <c r="AE29" s="150"/>
      <c r="AF29" s="150"/>
      <c r="AG29" s="150"/>
      <c r="AH29" s="150"/>
      <c r="AI29" s="150"/>
      <c r="AJ29" s="150"/>
      <c r="AK29" s="150"/>
      <c r="AL29" s="150"/>
      <c r="AM29" s="150"/>
      <c r="AN29" s="150"/>
      <c r="AO29" s="150"/>
      <c r="AP29" s="150"/>
      <c r="AQ29" s="150"/>
      <c r="AR29" s="150"/>
      <c r="AS29" s="150"/>
      <c r="AT29" s="150"/>
      <c r="AU29" s="150"/>
      <c r="AV29" s="151"/>
      <c r="AX29" s="39" t="s">
        <v>117</v>
      </c>
      <c r="AY29" s="103" t="s">
        <v>185</v>
      </c>
      <c r="AZ29" s="103">
        <v>96</v>
      </c>
      <c r="BA29" s="103">
        <v>228</v>
      </c>
      <c r="BB29" s="18">
        <v>19</v>
      </c>
      <c r="BC29" s="18">
        <v>241</v>
      </c>
      <c r="BD29" s="18">
        <v>300</v>
      </c>
      <c r="BE29" s="18">
        <v>19</v>
      </c>
      <c r="BF29" s="18">
        <v>19</v>
      </c>
      <c r="BG29" s="18">
        <v>18</v>
      </c>
      <c r="BH29" s="18">
        <f t="shared" si="5"/>
        <v>1</v>
      </c>
      <c r="BI29" s="18">
        <v>2</v>
      </c>
      <c r="BJ29" s="18">
        <v>40</v>
      </c>
      <c r="BK29" s="18"/>
      <c r="BL29" s="103">
        <v>45</v>
      </c>
      <c r="BM29" s="23">
        <v>22</v>
      </c>
      <c r="BN29" s="22">
        <v>1</v>
      </c>
      <c r="BO29" s="22">
        <v>1</v>
      </c>
      <c r="BP29" s="103">
        <v>25</v>
      </c>
      <c r="BQ29" s="23">
        <v>12</v>
      </c>
      <c r="BR29" s="23"/>
      <c r="BS29" s="103" t="s">
        <v>106</v>
      </c>
      <c r="BT29" s="103" t="s">
        <v>107</v>
      </c>
      <c r="BU29" s="19" t="s">
        <v>108</v>
      </c>
    </row>
    <row r="30" spans="1:73" ht="16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12" t="s">
        <v>97</v>
      </c>
      <c r="Z30" s="123" t="s">
        <v>78</v>
      </c>
      <c r="AA30" s="123" t="s">
        <v>79</v>
      </c>
      <c r="AB30" s="123" t="s">
        <v>80</v>
      </c>
      <c r="AC30" s="14" t="s">
        <v>81</v>
      </c>
      <c r="AD30" s="14" t="s">
        <v>82</v>
      </c>
      <c r="AE30" s="14" t="s">
        <v>83</v>
      </c>
      <c r="AF30" s="14" t="s">
        <v>99</v>
      </c>
      <c r="AG30" s="14" t="s">
        <v>100</v>
      </c>
      <c r="AH30" s="14" t="s">
        <v>86</v>
      </c>
      <c r="AI30" s="14" t="s">
        <v>87</v>
      </c>
      <c r="AJ30" s="14" t="s">
        <v>183</v>
      </c>
      <c r="AK30" s="14" t="s">
        <v>169</v>
      </c>
      <c r="AL30" s="14" t="s">
        <v>170</v>
      </c>
      <c r="AM30" s="14" t="s">
        <v>89</v>
      </c>
      <c r="AN30" s="14"/>
      <c r="AO30" s="123" t="s">
        <v>179</v>
      </c>
      <c r="AP30" s="123" t="s">
        <v>180</v>
      </c>
      <c r="AQ30" s="123" t="s">
        <v>181</v>
      </c>
      <c r="AR30" s="123" t="s">
        <v>182</v>
      </c>
      <c r="AS30" s="16" t="s">
        <v>93</v>
      </c>
      <c r="AT30" s="16" t="s">
        <v>94</v>
      </c>
      <c r="AU30" s="16" t="s">
        <v>95</v>
      </c>
      <c r="AV30" s="17" t="s">
        <v>96</v>
      </c>
      <c r="AX30" s="39" t="s">
        <v>117</v>
      </c>
      <c r="AY30" s="103" t="s">
        <v>185</v>
      </c>
      <c r="AZ30" s="103">
        <v>96</v>
      </c>
      <c r="BA30" s="103">
        <v>228</v>
      </c>
      <c r="BB30" s="31">
        <v>18</v>
      </c>
      <c r="BC30" s="18">
        <v>241</v>
      </c>
      <c r="BD30" s="18">
        <v>300</v>
      </c>
      <c r="BE30" s="25">
        <v>18</v>
      </c>
      <c r="BF30" s="25">
        <v>18</v>
      </c>
      <c r="BG30" s="25">
        <v>18</v>
      </c>
      <c r="BH30" s="25">
        <f t="shared" si="5"/>
        <v>0</v>
      </c>
      <c r="BI30" s="18">
        <v>2</v>
      </c>
      <c r="BJ30" s="18">
        <v>40</v>
      </c>
      <c r="BK30" s="18"/>
      <c r="BL30" s="103">
        <v>45</v>
      </c>
      <c r="BM30" s="23">
        <v>22</v>
      </c>
      <c r="BN30" s="22">
        <v>1</v>
      </c>
      <c r="BO30" s="22">
        <v>1</v>
      </c>
      <c r="BP30" s="103">
        <v>25</v>
      </c>
      <c r="BQ30" s="23">
        <v>12</v>
      </c>
      <c r="BR30" s="23"/>
      <c r="BS30" s="103" t="s">
        <v>106</v>
      </c>
      <c r="BT30" s="103" t="s">
        <v>107</v>
      </c>
      <c r="BU30" s="19" t="s">
        <v>108</v>
      </c>
    </row>
    <row r="31" spans="1:73" ht="165.75" thickBot="1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12" t="s">
        <v>120</v>
      </c>
      <c r="Z31" s="123" t="s">
        <v>185</v>
      </c>
      <c r="AA31" s="123">
        <v>60</v>
      </c>
      <c r="AB31" s="123">
        <v>192</v>
      </c>
      <c r="AC31" s="18">
        <v>15</v>
      </c>
      <c r="AD31" s="18">
        <v>60</v>
      </c>
      <c r="AE31" s="123">
        <v>120</v>
      </c>
      <c r="AF31" s="18">
        <v>4</v>
      </c>
      <c r="AG31" s="18">
        <v>4</v>
      </c>
      <c r="AH31" s="18">
        <v>17</v>
      </c>
      <c r="AI31" s="18">
        <f>AH31-AG31</f>
        <v>13</v>
      </c>
      <c r="AJ31" s="18">
        <v>1.5</v>
      </c>
      <c r="AK31" s="22">
        <v>1</v>
      </c>
      <c r="AL31" s="35">
        <v>0</v>
      </c>
      <c r="AM31" s="18">
        <v>25</v>
      </c>
      <c r="AN31" s="18"/>
      <c r="AO31" s="123">
        <v>25</v>
      </c>
      <c r="AP31" s="123">
        <v>12</v>
      </c>
      <c r="AQ31" s="123">
        <v>20</v>
      </c>
      <c r="AR31" s="123">
        <v>10</v>
      </c>
      <c r="AS31" s="123">
        <v>17.5</v>
      </c>
      <c r="AT31" s="123" t="s">
        <v>106</v>
      </c>
      <c r="AU31" s="123" t="s">
        <v>107</v>
      </c>
      <c r="AV31" s="19" t="s">
        <v>108</v>
      </c>
      <c r="AX31" s="39" t="s">
        <v>117</v>
      </c>
      <c r="AY31" s="103" t="s">
        <v>185</v>
      </c>
      <c r="AZ31" s="103">
        <v>96</v>
      </c>
      <c r="BA31" s="103">
        <v>228</v>
      </c>
      <c r="BB31" s="31">
        <v>17</v>
      </c>
      <c r="BC31" s="18">
        <v>241</v>
      </c>
      <c r="BD31" s="18">
        <v>300</v>
      </c>
      <c r="BE31" s="25">
        <v>17</v>
      </c>
      <c r="BF31" s="25">
        <v>17</v>
      </c>
      <c r="BG31" s="25">
        <v>18</v>
      </c>
      <c r="BH31" s="25">
        <f t="shared" si="5"/>
        <v>-1</v>
      </c>
      <c r="BI31" s="18">
        <v>2</v>
      </c>
      <c r="BJ31" s="18">
        <v>40</v>
      </c>
      <c r="BK31" s="18"/>
      <c r="BL31" s="103">
        <v>45</v>
      </c>
      <c r="BM31" s="23">
        <v>22</v>
      </c>
      <c r="BN31" s="22">
        <v>1</v>
      </c>
      <c r="BO31" s="22">
        <v>1</v>
      </c>
      <c r="BP31" s="103">
        <v>25</v>
      </c>
      <c r="BQ31" s="23">
        <v>12</v>
      </c>
      <c r="BR31" s="23"/>
      <c r="BS31" s="103" t="s">
        <v>106</v>
      </c>
      <c r="BT31" s="103" t="s">
        <v>107</v>
      </c>
      <c r="BU31" s="19" t="s">
        <v>108</v>
      </c>
    </row>
    <row r="32" spans="1:73" ht="165.75" thickBot="1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12" t="s">
        <v>120</v>
      </c>
      <c r="Z32" s="123" t="s">
        <v>185</v>
      </c>
      <c r="AA32" s="123">
        <v>60</v>
      </c>
      <c r="AB32" s="123">
        <v>192</v>
      </c>
      <c r="AC32" s="18">
        <v>14</v>
      </c>
      <c r="AD32" s="18">
        <v>121</v>
      </c>
      <c r="AE32" s="123">
        <v>180</v>
      </c>
      <c r="AF32" s="18">
        <v>5</v>
      </c>
      <c r="AG32" s="18">
        <v>5</v>
      </c>
      <c r="AH32" s="18">
        <v>17</v>
      </c>
      <c r="AI32" s="18">
        <f t="shared" ref="AI32:AI40" si="6">AH32-AG32</f>
        <v>12</v>
      </c>
      <c r="AJ32" s="18">
        <v>1.5</v>
      </c>
      <c r="AK32" s="22">
        <v>1.5</v>
      </c>
      <c r="AL32" s="35">
        <v>0</v>
      </c>
      <c r="AM32" s="18">
        <v>30</v>
      </c>
      <c r="AN32" s="18"/>
      <c r="AO32" s="123">
        <v>30</v>
      </c>
      <c r="AP32" s="23">
        <v>15</v>
      </c>
      <c r="AQ32" s="123">
        <v>25</v>
      </c>
      <c r="AR32" s="23">
        <v>12</v>
      </c>
      <c r="AS32" s="123">
        <v>17.5</v>
      </c>
      <c r="AT32" s="123" t="s">
        <v>106</v>
      </c>
      <c r="AU32" s="123" t="s">
        <v>107</v>
      </c>
      <c r="AV32" s="19" t="s">
        <v>108</v>
      </c>
      <c r="AX32" s="39" t="s">
        <v>117</v>
      </c>
      <c r="AY32" s="103" t="s">
        <v>185</v>
      </c>
      <c r="AZ32" s="103">
        <v>96</v>
      </c>
      <c r="BA32" s="103">
        <v>228</v>
      </c>
      <c r="BB32" s="31">
        <v>16</v>
      </c>
      <c r="BC32" s="18">
        <v>241</v>
      </c>
      <c r="BD32" s="18">
        <v>300</v>
      </c>
      <c r="BE32" s="25">
        <v>16</v>
      </c>
      <c r="BF32" s="25">
        <v>16</v>
      </c>
      <c r="BG32" s="25">
        <v>18</v>
      </c>
      <c r="BH32" s="25">
        <f t="shared" si="5"/>
        <v>-2</v>
      </c>
      <c r="BI32" s="18">
        <v>2</v>
      </c>
      <c r="BJ32" s="18">
        <v>40</v>
      </c>
      <c r="BK32" s="18"/>
      <c r="BL32" s="103">
        <v>45</v>
      </c>
      <c r="BM32" s="23">
        <v>22</v>
      </c>
      <c r="BN32" s="22">
        <v>1</v>
      </c>
      <c r="BO32" s="22">
        <v>1</v>
      </c>
      <c r="BP32" s="103">
        <v>25</v>
      </c>
      <c r="BQ32" s="23">
        <v>12</v>
      </c>
      <c r="BR32" s="23"/>
      <c r="BS32" s="103" t="s">
        <v>106</v>
      </c>
      <c r="BT32" s="103" t="s">
        <v>107</v>
      </c>
      <c r="BU32" s="19" t="s">
        <v>108</v>
      </c>
    </row>
    <row r="33" spans="1:73" ht="165.75" thickBot="1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12" t="s">
        <v>120</v>
      </c>
      <c r="Z33" s="123" t="s">
        <v>185</v>
      </c>
      <c r="AA33" s="123">
        <v>60</v>
      </c>
      <c r="AB33" s="123">
        <v>192</v>
      </c>
      <c r="AC33" s="18">
        <v>13</v>
      </c>
      <c r="AD33" s="18">
        <v>181</v>
      </c>
      <c r="AE33" s="123">
        <v>240</v>
      </c>
      <c r="AF33" s="18">
        <v>6</v>
      </c>
      <c r="AG33" s="18">
        <v>6</v>
      </c>
      <c r="AH33" s="18">
        <v>17</v>
      </c>
      <c r="AI33" s="18">
        <f t="shared" si="6"/>
        <v>11</v>
      </c>
      <c r="AJ33" s="18">
        <v>2</v>
      </c>
      <c r="AK33" s="22">
        <v>1.5</v>
      </c>
      <c r="AL33" s="35">
        <v>0</v>
      </c>
      <c r="AM33" s="18">
        <v>40</v>
      </c>
      <c r="AN33" s="18"/>
      <c r="AO33" s="123">
        <v>40</v>
      </c>
      <c r="AP33" s="23">
        <v>20</v>
      </c>
      <c r="AQ33" s="123">
        <v>30</v>
      </c>
      <c r="AR33" s="23">
        <v>15</v>
      </c>
      <c r="AS33" s="123">
        <v>17.5</v>
      </c>
      <c r="AT33" s="123" t="s">
        <v>106</v>
      </c>
      <c r="AU33" s="123" t="s">
        <v>107</v>
      </c>
      <c r="AV33" s="19" t="s">
        <v>108</v>
      </c>
      <c r="AX33" s="39" t="s">
        <v>117</v>
      </c>
      <c r="AY33" s="103" t="s">
        <v>185</v>
      </c>
      <c r="AZ33" s="103">
        <v>96</v>
      </c>
      <c r="BA33" s="103">
        <v>228</v>
      </c>
      <c r="BB33" s="31">
        <v>15</v>
      </c>
      <c r="BC33" s="18">
        <v>241</v>
      </c>
      <c r="BD33" s="18">
        <v>300</v>
      </c>
      <c r="BE33" s="25">
        <v>15</v>
      </c>
      <c r="BF33" s="25">
        <v>15</v>
      </c>
      <c r="BG33" s="25">
        <v>18</v>
      </c>
      <c r="BH33" s="25">
        <f t="shared" si="5"/>
        <v>-3</v>
      </c>
      <c r="BI33" s="18">
        <v>2</v>
      </c>
      <c r="BJ33" s="18">
        <v>40</v>
      </c>
      <c r="BK33" s="18"/>
      <c r="BL33" s="103">
        <v>45</v>
      </c>
      <c r="BM33" s="23">
        <v>22</v>
      </c>
      <c r="BN33" s="22">
        <v>1</v>
      </c>
      <c r="BO33" s="22">
        <v>1</v>
      </c>
      <c r="BP33" s="103">
        <v>25</v>
      </c>
      <c r="BQ33" s="23">
        <v>12</v>
      </c>
      <c r="BR33" s="23"/>
      <c r="BS33" s="103" t="s">
        <v>106</v>
      </c>
      <c r="BT33" s="103" t="s">
        <v>107</v>
      </c>
      <c r="BU33" s="19" t="s">
        <v>108</v>
      </c>
    </row>
    <row r="34" spans="1:73" ht="165.75" thickBot="1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12" t="s">
        <v>120</v>
      </c>
      <c r="Z34" s="123" t="s">
        <v>185</v>
      </c>
      <c r="AA34" s="123">
        <v>60</v>
      </c>
      <c r="AB34" s="123">
        <v>192</v>
      </c>
      <c r="AC34" s="18">
        <v>12</v>
      </c>
      <c r="AD34" s="18">
        <v>241</v>
      </c>
      <c r="AE34" s="123">
        <v>300</v>
      </c>
      <c r="AF34" s="18">
        <v>7</v>
      </c>
      <c r="AG34" s="18">
        <v>7</v>
      </c>
      <c r="AH34" s="18">
        <v>17</v>
      </c>
      <c r="AI34" s="18">
        <f t="shared" si="6"/>
        <v>10</v>
      </c>
      <c r="AJ34" s="18">
        <v>2</v>
      </c>
      <c r="AK34" s="22">
        <v>1.5</v>
      </c>
      <c r="AL34" s="35">
        <v>0</v>
      </c>
      <c r="AM34" s="18">
        <v>40</v>
      </c>
      <c r="AN34" s="18"/>
      <c r="AO34" s="123">
        <v>40</v>
      </c>
      <c r="AP34" s="23">
        <v>20</v>
      </c>
      <c r="AQ34" s="123">
        <v>30</v>
      </c>
      <c r="AR34" s="23">
        <v>15</v>
      </c>
      <c r="AS34" s="123">
        <v>17.5</v>
      </c>
      <c r="AT34" s="123" t="s">
        <v>106</v>
      </c>
      <c r="AU34" s="123" t="s">
        <v>107</v>
      </c>
      <c r="AV34" s="19" t="s">
        <v>108</v>
      </c>
      <c r="AX34" s="39" t="s">
        <v>117</v>
      </c>
      <c r="AY34" s="103" t="s">
        <v>185</v>
      </c>
      <c r="AZ34" s="103">
        <v>96</v>
      </c>
      <c r="BA34" s="103">
        <v>228</v>
      </c>
      <c r="BB34" s="31">
        <v>14</v>
      </c>
      <c r="BC34" s="18">
        <v>241</v>
      </c>
      <c r="BD34" s="18">
        <v>300</v>
      </c>
      <c r="BE34" s="25">
        <v>14</v>
      </c>
      <c r="BF34" s="25">
        <v>14</v>
      </c>
      <c r="BG34" s="25">
        <v>18</v>
      </c>
      <c r="BH34" s="25">
        <f t="shared" si="5"/>
        <v>-4</v>
      </c>
      <c r="BI34" s="18">
        <v>2</v>
      </c>
      <c r="BJ34" s="18">
        <v>40</v>
      </c>
      <c r="BK34" s="18"/>
      <c r="BL34" s="103">
        <v>45</v>
      </c>
      <c r="BM34" s="23">
        <v>22</v>
      </c>
      <c r="BN34" s="22">
        <v>1</v>
      </c>
      <c r="BO34" s="22">
        <v>1</v>
      </c>
      <c r="BP34" s="103">
        <v>25</v>
      </c>
      <c r="BQ34" s="23">
        <v>12</v>
      </c>
      <c r="BR34" s="23"/>
      <c r="BS34" s="103" t="s">
        <v>106</v>
      </c>
      <c r="BT34" s="103" t="s">
        <v>107</v>
      </c>
      <c r="BU34" s="19" t="s">
        <v>108</v>
      </c>
    </row>
    <row r="35" spans="1:73" ht="165.75" thickBot="1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12" t="s">
        <v>120</v>
      </c>
      <c r="Z35" s="123" t="s">
        <v>185</v>
      </c>
      <c r="AA35" s="123">
        <v>60</v>
      </c>
      <c r="AB35" s="123">
        <v>192</v>
      </c>
      <c r="AC35" s="18">
        <v>11</v>
      </c>
      <c r="AD35" s="18">
        <v>241</v>
      </c>
      <c r="AE35" s="123">
        <v>300</v>
      </c>
      <c r="AF35" s="18">
        <v>8</v>
      </c>
      <c r="AG35" s="18">
        <v>8</v>
      </c>
      <c r="AH35" s="18">
        <v>17</v>
      </c>
      <c r="AI35" s="18">
        <f t="shared" si="6"/>
        <v>9</v>
      </c>
      <c r="AJ35" s="18">
        <v>2</v>
      </c>
      <c r="AK35" s="22">
        <v>1.5</v>
      </c>
      <c r="AL35" s="35">
        <v>0</v>
      </c>
      <c r="AM35" s="18">
        <v>40</v>
      </c>
      <c r="AN35" s="18"/>
      <c r="AO35" s="123">
        <v>40</v>
      </c>
      <c r="AP35" s="23">
        <v>20</v>
      </c>
      <c r="AQ35" s="123">
        <v>30</v>
      </c>
      <c r="AR35" s="23">
        <v>15</v>
      </c>
      <c r="AS35" s="123">
        <v>17.5</v>
      </c>
      <c r="AT35" s="123" t="s">
        <v>106</v>
      </c>
      <c r="AU35" s="123" t="s">
        <v>107</v>
      </c>
      <c r="AV35" s="19" t="s">
        <v>108</v>
      </c>
      <c r="AX35" s="39" t="s">
        <v>117</v>
      </c>
      <c r="AY35" s="103" t="s">
        <v>185</v>
      </c>
      <c r="AZ35" s="103">
        <v>96</v>
      </c>
      <c r="BA35" s="103">
        <v>228</v>
      </c>
      <c r="BB35" s="31">
        <v>13</v>
      </c>
      <c r="BC35" s="18">
        <v>241</v>
      </c>
      <c r="BD35" s="18">
        <v>300</v>
      </c>
      <c r="BE35" s="25">
        <v>13</v>
      </c>
      <c r="BF35" s="25">
        <v>13</v>
      </c>
      <c r="BG35" s="25">
        <v>18</v>
      </c>
      <c r="BH35" s="25">
        <f t="shared" si="5"/>
        <v>-5</v>
      </c>
      <c r="BI35" s="18">
        <v>2</v>
      </c>
      <c r="BJ35" s="18">
        <v>40</v>
      </c>
      <c r="BK35" s="18"/>
      <c r="BL35" s="103">
        <v>45</v>
      </c>
      <c r="BM35" s="23">
        <v>22</v>
      </c>
      <c r="BN35" s="22">
        <v>1</v>
      </c>
      <c r="BO35" s="22">
        <v>1</v>
      </c>
      <c r="BP35" s="103">
        <v>25</v>
      </c>
      <c r="BQ35" s="23">
        <v>12</v>
      </c>
      <c r="BR35" s="23"/>
      <c r="BS35" s="103" t="s">
        <v>106</v>
      </c>
      <c r="BT35" s="103" t="s">
        <v>107</v>
      </c>
      <c r="BU35" s="19" t="s">
        <v>108</v>
      </c>
    </row>
    <row r="36" spans="1:73" ht="165.75" thickBot="1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12" t="s">
        <v>120</v>
      </c>
      <c r="Z36" s="123" t="s">
        <v>185</v>
      </c>
      <c r="AA36" s="123">
        <v>60</v>
      </c>
      <c r="AB36" s="123">
        <v>192</v>
      </c>
      <c r="AC36" s="18">
        <v>10</v>
      </c>
      <c r="AD36" s="18">
        <v>241</v>
      </c>
      <c r="AE36" s="123">
        <v>300</v>
      </c>
      <c r="AF36" s="18">
        <v>9</v>
      </c>
      <c r="AG36" s="18">
        <v>9</v>
      </c>
      <c r="AH36" s="18">
        <v>17</v>
      </c>
      <c r="AI36" s="18">
        <f t="shared" si="6"/>
        <v>8</v>
      </c>
      <c r="AJ36" s="18">
        <v>2</v>
      </c>
      <c r="AK36" s="22">
        <v>1.5</v>
      </c>
      <c r="AL36" s="35">
        <v>0</v>
      </c>
      <c r="AM36" s="18">
        <v>40</v>
      </c>
      <c r="AN36" s="18"/>
      <c r="AO36" s="123">
        <v>40</v>
      </c>
      <c r="AP36" s="23">
        <v>20</v>
      </c>
      <c r="AQ36" s="123">
        <v>30</v>
      </c>
      <c r="AR36" s="23">
        <v>15</v>
      </c>
      <c r="AS36" s="123">
        <v>17.5</v>
      </c>
      <c r="AT36" s="123" t="s">
        <v>106</v>
      </c>
      <c r="AU36" s="123" t="s">
        <v>107</v>
      </c>
      <c r="AV36" s="19" t="s">
        <v>108</v>
      </c>
      <c r="AX36" s="39" t="s">
        <v>117</v>
      </c>
      <c r="AY36" s="103" t="s">
        <v>185</v>
      </c>
      <c r="AZ36" s="103">
        <v>96</v>
      </c>
      <c r="BA36" s="103">
        <v>228</v>
      </c>
      <c r="BB36" s="31">
        <v>12</v>
      </c>
      <c r="BC36" s="18">
        <v>241</v>
      </c>
      <c r="BD36" s="18">
        <v>300</v>
      </c>
      <c r="BE36" s="25">
        <v>12</v>
      </c>
      <c r="BF36" s="25">
        <v>12</v>
      </c>
      <c r="BG36" s="25">
        <v>18</v>
      </c>
      <c r="BH36" s="25">
        <f t="shared" si="5"/>
        <v>-6</v>
      </c>
      <c r="BI36" s="18">
        <v>2</v>
      </c>
      <c r="BJ36" s="18">
        <v>40</v>
      </c>
      <c r="BK36" s="18"/>
      <c r="BL36" s="103">
        <v>45</v>
      </c>
      <c r="BM36" s="23">
        <v>22</v>
      </c>
      <c r="BN36" s="22">
        <v>1</v>
      </c>
      <c r="BO36" s="22">
        <v>1</v>
      </c>
      <c r="BP36" s="103">
        <v>25</v>
      </c>
      <c r="BQ36" s="23">
        <v>12</v>
      </c>
      <c r="BR36" s="23"/>
      <c r="BS36" s="103" t="s">
        <v>106</v>
      </c>
      <c r="BT36" s="103" t="s">
        <v>107</v>
      </c>
      <c r="BU36" s="19" t="s">
        <v>108</v>
      </c>
    </row>
    <row r="37" spans="1:73" ht="165.75" thickBot="1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12" t="s">
        <v>120</v>
      </c>
      <c r="Z37" s="123" t="s">
        <v>185</v>
      </c>
      <c r="AA37" s="123">
        <v>60</v>
      </c>
      <c r="AB37" s="123">
        <v>192</v>
      </c>
      <c r="AC37" s="18">
        <v>9</v>
      </c>
      <c r="AD37" s="18">
        <v>241</v>
      </c>
      <c r="AE37" s="123">
        <v>300</v>
      </c>
      <c r="AF37" s="18">
        <v>10</v>
      </c>
      <c r="AG37" s="18">
        <v>10</v>
      </c>
      <c r="AH37" s="18">
        <v>17</v>
      </c>
      <c r="AI37" s="18">
        <f t="shared" si="6"/>
        <v>7</v>
      </c>
      <c r="AJ37" s="18">
        <v>2</v>
      </c>
      <c r="AK37" s="22">
        <v>1.5</v>
      </c>
      <c r="AL37" s="35">
        <v>0</v>
      </c>
      <c r="AM37" s="18">
        <v>40</v>
      </c>
      <c r="AN37" s="18"/>
      <c r="AO37" s="123">
        <v>40</v>
      </c>
      <c r="AP37" s="23">
        <v>20</v>
      </c>
      <c r="AQ37" s="123">
        <v>30</v>
      </c>
      <c r="AR37" s="23">
        <v>15</v>
      </c>
      <c r="AS37" s="123">
        <v>17.5</v>
      </c>
      <c r="AT37" s="123" t="s">
        <v>106</v>
      </c>
      <c r="AU37" s="123" t="s">
        <v>107</v>
      </c>
      <c r="AV37" s="19" t="s">
        <v>108</v>
      </c>
      <c r="AX37" s="39" t="s">
        <v>117</v>
      </c>
      <c r="AY37" s="103" t="s">
        <v>185</v>
      </c>
      <c r="AZ37" s="103">
        <v>96</v>
      </c>
      <c r="BA37" s="103">
        <v>228</v>
      </c>
      <c r="BB37" s="31">
        <v>11</v>
      </c>
      <c r="BC37" s="18">
        <v>241</v>
      </c>
      <c r="BD37" s="18">
        <v>300</v>
      </c>
      <c r="BE37" s="25">
        <v>11</v>
      </c>
      <c r="BF37" s="25">
        <v>11</v>
      </c>
      <c r="BG37" s="25">
        <v>18</v>
      </c>
      <c r="BH37" s="25">
        <f t="shared" si="5"/>
        <v>-7</v>
      </c>
      <c r="BI37" s="18">
        <v>2</v>
      </c>
      <c r="BJ37" s="18">
        <v>40</v>
      </c>
      <c r="BK37" s="18"/>
      <c r="BL37" s="103">
        <v>45</v>
      </c>
      <c r="BM37" s="23">
        <v>22</v>
      </c>
      <c r="BN37" s="22">
        <v>1</v>
      </c>
      <c r="BO37" s="22">
        <v>1</v>
      </c>
      <c r="BP37" s="103">
        <v>25</v>
      </c>
      <c r="BQ37" s="23">
        <v>12</v>
      </c>
      <c r="BR37" s="23"/>
      <c r="BS37" s="103" t="s">
        <v>106</v>
      </c>
      <c r="BT37" s="103" t="s">
        <v>107</v>
      </c>
      <c r="BU37" s="19" t="s">
        <v>108</v>
      </c>
    </row>
    <row r="38" spans="1:73" ht="165.75" thickBot="1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12" t="s">
        <v>120</v>
      </c>
      <c r="Z38" s="123" t="s">
        <v>185</v>
      </c>
      <c r="AA38" s="123">
        <v>60</v>
      </c>
      <c r="AB38" s="123">
        <v>192</v>
      </c>
      <c r="AC38" s="18">
        <v>8</v>
      </c>
      <c r="AD38" s="18">
        <v>241</v>
      </c>
      <c r="AE38" s="123">
        <v>300</v>
      </c>
      <c r="AF38" s="18">
        <v>11</v>
      </c>
      <c r="AG38" s="18">
        <v>11</v>
      </c>
      <c r="AH38" s="18">
        <v>17</v>
      </c>
      <c r="AI38" s="18">
        <f t="shared" si="6"/>
        <v>6</v>
      </c>
      <c r="AJ38" s="18">
        <v>2</v>
      </c>
      <c r="AK38" s="22">
        <v>1.5</v>
      </c>
      <c r="AL38" s="35">
        <v>0</v>
      </c>
      <c r="AM38" s="18">
        <v>40</v>
      </c>
      <c r="AN38" s="18"/>
      <c r="AO38" s="123">
        <v>40</v>
      </c>
      <c r="AP38" s="23">
        <v>20</v>
      </c>
      <c r="AQ38" s="123">
        <v>30</v>
      </c>
      <c r="AR38" s="23">
        <v>15</v>
      </c>
      <c r="AS38" s="123">
        <v>17.5</v>
      </c>
      <c r="AT38" s="123" t="s">
        <v>106</v>
      </c>
      <c r="AU38" s="123" t="s">
        <v>107</v>
      </c>
      <c r="AV38" s="19" t="s">
        <v>108</v>
      </c>
      <c r="AX38" s="41" t="s">
        <v>117</v>
      </c>
      <c r="AY38" s="28" t="s">
        <v>185</v>
      </c>
      <c r="AZ38" s="28">
        <v>96</v>
      </c>
      <c r="BA38" s="28">
        <v>228</v>
      </c>
      <c r="BB38" s="38">
        <v>10</v>
      </c>
      <c r="BC38" s="29">
        <v>241</v>
      </c>
      <c r="BD38" s="29">
        <v>300</v>
      </c>
      <c r="BE38" s="33">
        <v>10</v>
      </c>
      <c r="BF38" s="33">
        <v>10</v>
      </c>
      <c r="BG38" s="33">
        <v>18</v>
      </c>
      <c r="BH38" s="25">
        <f t="shared" si="5"/>
        <v>-8</v>
      </c>
      <c r="BI38" s="29">
        <v>2</v>
      </c>
      <c r="BJ38" s="29">
        <v>40</v>
      </c>
      <c r="BK38" s="29"/>
      <c r="BL38" s="28">
        <v>45</v>
      </c>
      <c r="BM38" s="36">
        <v>22</v>
      </c>
      <c r="BN38" s="164">
        <v>1</v>
      </c>
      <c r="BO38" s="164">
        <v>1</v>
      </c>
      <c r="BP38" s="28">
        <v>25</v>
      </c>
      <c r="BQ38" s="36">
        <v>12</v>
      </c>
      <c r="BR38" s="36"/>
      <c r="BS38" s="28" t="s">
        <v>106</v>
      </c>
      <c r="BT38" s="28" t="s">
        <v>107</v>
      </c>
      <c r="BU38" s="30" t="s">
        <v>108</v>
      </c>
    </row>
    <row r="39" spans="1:73" ht="165.75" thickBot="1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12" t="s">
        <v>120</v>
      </c>
      <c r="Z39" s="123" t="s">
        <v>185</v>
      </c>
      <c r="AA39" s="123">
        <v>60</v>
      </c>
      <c r="AB39" s="123">
        <v>192</v>
      </c>
      <c r="AC39" s="18">
        <v>7</v>
      </c>
      <c r="AD39" s="18">
        <v>241</v>
      </c>
      <c r="AE39" s="123">
        <v>300</v>
      </c>
      <c r="AF39" s="18">
        <v>12</v>
      </c>
      <c r="AG39" s="18">
        <v>12</v>
      </c>
      <c r="AH39" s="18">
        <v>17</v>
      </c>
      <c r="AI39" s="18">
        <f t="shared" si="6"/>
        <v>5</v>
      </c>
      <c r="AJ39" s="18">
        <v>2</v>
      </c>
      <c r="AK39" s="22">
        <v>1.5</v>
      </c>
      <c r="AL39" s="35">
        <v>0</v>
      </c>
      <c r="AM39" s="18">
        <v>40</v>
      </c>
      <c r="AN39" s="18"/>
      <c r="AO39" s="123">
        <v>40</v>
      </c>
      <c r="AP39" s="23">
        <v>20</v>
      </c>
      <c r="AQ39" s="123">
        <v>30</v>
      </c>
      <c r="AR39" s="23">
        <v>15</v>
      </c>
      <c r="AS39" s="123">
        <v>17.5</v>
      </c>
      <c r="AT39" s="123" t="s">
        <v>106</v>
      </c>
      <c r="AU39" s="123" t="s">
        <v>107</v>
      </c>
      <c r="AV39" s="19" t="s">
        <v>108</v>
      </c>
      <c r="AX39" s="10"/>
      <c r="AY39" s="10"/>
      <c r="AZ39" s="42"/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42"/>
      <c r="BT39" s="42"/>
      <c r="BU39" s="42"/>
    </row>
    <row r="40" spans="1:73" ht="165.75" thickBot="1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27" t="s">
        <v>120</v>
      </c>
      <c r="Z40" s="28" t="s">
        <v>185</v>
      </c>
      <c r="AA40" s="28">
        <v>60</v>
      </c>
      <c r="AB40" s="28">
        <v>192</v>
      </c>
      <c r="AC40" s="29">
        <v>6</v>
      </c>
      <c r="AD40" s="29">
        <v>241</v>
      </c>
      <c r="AE40" s="28">
        <v>300</v>
      </c>
      <c r="AF40" s="29">
        <v>13</v>
      </c>
      <c r="AG40" s="29">
        <v>13</v>
      </c>
      <c r="AH40" s="29">
        <v>17</v>
      </c>
      <c r="AI40" s="29">
        <f t="shared" si="6"/>
        <v>4</v>
      </c>
      <c r="AJ40" s="29">
        <v>2</v>
      </c>
      <c r="AK40" s="22">
        <v>1.5</v>
      </c>
      <c r="AL40" s="35">
        <v>0</v>
      </c>
      <c r="AM40" s="29">
        <v>40</v>
      </c>
      <c r="AN40" s="29"/>
      <c r="AO40" s="28">
        <v>40</v>
      </c>
      <c r="AP40" s="36">
        <v>20</v>
      </c>
      <c r="AQ40" s="28">
        <v>30</v>
      </c>
      <c r="AR40" s="36">
        <v>15</v>
      </c>
      <c r="AS40" s="28">
        <v>17.5</v>
      </c>
      <c r="AT40" s="28" t="s">
        <v>106</v>
      </c>
      <c r="AU40" s="28" t="s">
        <v>107</v>
      </c>
      <c r="AV40" s="30" t="s">
        <v>108</v>
      </c>
      <c r="AX40" s="10"/>
      <c r="AY40" s="10"/>
      <c r="AZ40" s="42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42"/>
    </row>
    <row r="41" spans="1:7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AX41" s="10"/>
      <c r="AY41" s="10"/>
      <c r="AZ41" s="42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42"/>
    </row>
  </sheetData>
  <mergeCells count="7">
    <mergeCell ref="Y29:AV29"/>
    <mergeCell ref="Y15:AV15"/>
    <mergeCell ref="Y2:AV2"/>
    <mergeCell ref="AX2:BU2"/>
    <mergeCell ref="AX21:BU21"/>
    <mergeCell ref="A2:W2"/>
    <mergeCell ref="A15:W1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Large</vt:lpstr>
      <vt:lpstr>Medium</vt:lpstr>
      <vt:lpstr>Small</vt:lpstr>
      <vt:lpstr>Form Resources</vt:lpstr>
      <vt:lpstr>Charts Over-Under</vt:lpstr>
      <vt:lpstr>Charts Center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</dc:creator>
  <cp:lastModifiedBy>ARSHAD</cp:lastModifiedBy>
  <dcterms:created xsi:type="dcterms:W3CDTF">2016-04-12T00:20:43Z</dcterms:created>
  <dcterms:modified xsi:type="dcterms:W3CDTF">2016-07-03T20:32:08Z</dcterms:modified>
</cp:coreProperties>
</file>